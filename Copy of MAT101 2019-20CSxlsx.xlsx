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Calculation" sheetId="1" r:id="rId5"/>
    <sheet state="visible" name="OVERALL CO" sheetId="2" r:id="rId6"/>
  </sheets>
  <definedNames/>
  <calcPr/>
</workbook>
</file>

<file path=xl/sharedStrings.xml><?xml version="1.0" encoding="utf-8"?>
<sst xmlns="http://schemas.openxmlformats.org/spreadsheetml/2006/main" count="276" uniqueCount="119">
  <si>
    <t>Assessment Tools</t>
  </si>
  <si>
    <t>Q.No</t>
  </si>
  <si>
    <t>INTERNAL  EXAM</t>
  </si>
  <si>
    <t>ESL120.1</t>
  </si>
  <si>
    <t>University Marks</t>
  </si>
  <si>
    <t>ESL120.2</t>
  </si>
  <si>
    <t>ESL120.3</t>
  </si>
  <si>
    <t>ESL120.4</t>
  </si>
  <si>
    <t>ESL120.5</t>
  </si>
  <si>
    <t>ESL120.6</t>
  </si>
  <si>
    <t>ESL120.7</t>
  </si>
  <si>
    <t>ESL120.8</t>
  </si>
  <si>
    <t>CO CONTINOUS EVALUATION</t>
  </si>
  <si>
    <t>Board/University Exam</t>
  </si>
  <si>
    <t>NIL</t>
  </si>
  <si>
    <t>CO1-CO8</t>
  </si>
  <si>
    <t>Survey</t>
  </si>
  <si>
    <t>Roll No</t>
  </si>
  <si>
    <t>Final</t>
  </si>
  <si>
    <t>Name</t>
  </si>
  <si>
    <t>CO1</t>
  </si>
  <si>
    <t>CO2</t>
  </si>
  <si>
    <t>CO3</t>
  </si>
  <si>
    <t>C04</t>
  </si>
  <si>
    <t>CO5</t>
  </si>
  <si>
    <t>AABDUL FARDEEN M N - CEC19CS001</t>
  </si>
  <si>
    <t>C+</t>
  </si>
  <si>
    <t>ORIGINAL PO &amp; PSO MAPPING OF THE COURSE</t>
  </si>
  <si>
    <t>CO</t>
  </si>
  <si>
    <t>Target CO</t>
  </si>
  <si>
    <t>PO1</t>
  </si>
  <si>
    <t>PO 2</t>
  </si>
  <si>
    <t>PO 3</t>
  </si>
  <si>
    <t>PO 4</t>
  </si>
  <si>
    <t>PO 5</t>
  </si>
  <si>
    <t>PO 6</t>
  </si>
  <si>
    <t>PO7</t>
  </si>
  <si>
    <t>PO8</t>
  </si>
  <si>
    <t>PO9</t>
  </si>
  <si>
    <t>PO10</t>
  </si>
  <si>
    <t>PO 11</t>
  </si>
  <si>
    <t>PO12</t>
  </si>
  <si>
    <t>PSO1</t>
  </si>
  <si>
    <t>PSO 2</t>
  </si>
  <si>
    <t>PSO 3</t>
  </si>
  <si>
    <t>Abdulla Hashim - CEC19CS002</t>
  </si>
  <si>
    <t>P</t>
  </si>
  <si>
    <t xml:space="preserve">PO &amp; PSO ATTAINMENT </t>
  </si>
  <si>
    <t>AIWI DAS B - CEC19CS003</t>
  </si>
  <si>
    <t>Akash K V - CEC19CS004</t>
  </si>
  <si>
    <t>B</t>
  </si>
  <si>
    <t>Alfina Roshni K B - CEC19CS005</t>
  </si>
  <si>
    <t>Attained CO</t>
  </si>
  <si>
    <t>PO 1</t>
  </si>
  <si>
    <t>AMAL SHAHEER - CEC19CS006</t>
  </si>
  <si>
    <t>B+</t>
  </si>
  <si>
    <t>Anakha B S - CEC19CS007</t>
  </si>
  <si>
    <t>F</t>
  </si>
  <si>
    <t>ANANDA KRISHNAN V A - CEC19CS008</t>
  </si>
  <si>
    <t>D</t>
  </si>
  <si>
    <t>ANN MARY VINCENT - CEC19CS009</t>
  </si>
  <si>
    <t>DF</t>
  </si>
  <si>
    <t>Anu Muraleedharan - CEC19CS010</t>
  </si>
  <si>
    <t>C</t>
  </si>
  <si>
    <t>ANUSREE GENGA NAIR - CEC19CS011</t>
  </si>
  <si>
    <t>A</t>
  </si>
  <si>
    <t>APARNA A KUMAR - CEC19CS012</t>
  </si>
  <si>
    <t>APARNA V S - CEC19CS013</t>
  </si>
  <si>
    <t>ARCHANA K PRASAD - CEC19CS014</t>
  </si>
  <si>
    <t>ASHMI P K - CEC19CS015</t>
  </si>
  <si>
    <t>ASWATHY B - CEC19CS016</t>
  </si>
  <si>
    <t>A+</t>
  </si>
  <si>
    <t>AVITHA ASHOK - CEC19CS017</t>
  </si>
  <si>
    <t>FAIZ ANVAR T - CEC19CS018</t>
  </si>
  <si>
    <t>FATHIMA RISWANA A - CEC19CS019</t>
  </si>
  <si>
    <t>GOURI SANDESH - CEC19CS020</t>
  </si>
  <si>
    <t>GREESHMA C P - CEC19CS021</t>
  </si>
  <si>
    <t>HARIKRISHNAN S - CEC19CS022</t>
  </si>
  <si>
    <t>HIBA NOURIN FATHIMA P M - CEC19CS023</t>
  </si>
  <si>
    <t>Jeevan Jayakumar - CEC19CS024</t>
  </si>
  <si>
    <t>JIBI THOMAS - CEC19CS025</t>
  </si>
  <si>
    <t>JOYAL FRANCIS TJ - CEC19CS026</t>
  </si>
  <si>
    <t>KARTHIK S - CEC19CS027</t>
  </si>
  <si>
    <t>KEERTHI A M - CEC19CS028</t>
  </si>
  <si>
    <t>KRISHNALATHA G - CEC19CS029</t>
  </si>
  <si>
    <t>KRISHNAPRIYA P R - CEC19CS030</t>
  </si>
  <si>
    <t>MANJUSHA K - CEC19CS031</t>
  </si>
  <si>
    <t>MANU M P - CEC19CS032</t>
  </si>
  <si>
    <t>MUHAMMED AJMAL P N - CEC19CS033</t>
  </si>
  <si>
    <t>NANDAKRISHNAN B - CEC19CS034</t>
  </si>
  <si>
    <t>NAVOMI NIXON - CEC19CS035</t>
  </si>
  <si>
    <t>NAYANA B S - CEC19CS036</t>
  </si>
  <si>
    <t>NIBIN K R - CEC19CS037</t>
  </si>
  <si>
    <t>NIBIN RAJ R - CEC19CS038</t>
  </si>
  <si>
    <t>NIHANA NIZAR - CEC19CS039</t>
  </si>
  <si>
    <t>NIRANJANAN T - CEC19CS040</t>
  </si>
  <si>
    <t>PARVATHY K S - CEC19CS041</t>
  </si>
  <si>
    <t>P HARITHA SHAJI - CEC19CS042</t>
  </si>
  <si>
    <t>RESHMI MOHAN - CEC19CS043</t>
  </si>
  <si>
    <t>RISHIKESH S PILLAI - CEC19CS045</t>
  </si>
  <si>
    <t>ROHINI UDAYAKUMAR - CEC19CS046</t>
  </si>
  <si>
    <t>R VARSHA VINOD - CEC19CS047</t>
  </si>
  <si>
    <t>SANGEETH SUBHASH - CEC19CS048</t>
  </si>
  <si>
    <t>SANJEEV SHAJI - CEC19CS049</t>
  </si>
  <si>
    <t>SIJOMON S - CEC19CS050</t>
  </si>
  <si>
    <t>S JAYAKRISHNAN - CEC19CS051</t>
  </si>
  <si>
    <t>SREELAKSHMI K A - CEC19CS052</t>
  </si>
  <si>
    <t>SREELEKSHMI C J - CEC19CS053</t>
  </si>
  <si>
    <t>SRUTHY S NAIR - CEC19CS054</t>
  </si>
  <si>
    <t>STEVE FRANCIS - CEC19CS055</t>
  </si>
  <si>
    <t>VIGHNESH D - CEC19CS056</t>
  </si>
  <si>
    <t>VIMAL VARGHESE - CEC19CS057</t>
  </si>
  <si>
    <t>VISHNUPRIYA K S - CEC19CS058</t>
  </si>
  <si>
    <t>YADUKRISHNAN P M - CEC19CS059</t>
  </si>
  <si>
    <t>Number of students who attaned the Course outcome (TARGET 55%)</t>
  </si>
  <si>
    <t>Percentage of students who attained CO</t>
  </si>
  <si>
    <t xml:space="preserve"> </t>
  </si>
  <si>
    <t>CO4</t>
  </si>
  <si>
    <t>CO1-CO3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</si>
</sst>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Arial"/>
      <scheme val="minor"/>
    </font>
    <font>
      <sz val="11.0"/>
      <color rgb="FF000000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14.0"/>
      <color rgb="FF000000"/>
      <name val="Times New Roman"/>
    </font>
    <font>
      <b/>
      <sz val="10.0"/>
      <color rgb="FF000000"/>
      <name val="Arial"/>
    </font>
    <font>
      <b/>
      <sz val="12.0"/>
      <color rgb="FF000000"/>
      <name val="Times New Roman"/>
    </font>
    <font>
      <b/>
      <sz val="12.0"/>
      <color rgb="FF000000"/>
      <name val="Calibri"/>
    </font>
    <font>
      <b/>
      <sz val="11.0"/>
      <color rgb="FF000000"/>
      <name val="Calibri"/>
    </font>
    <font/>
    <font>
      <color theme="1"/>
      <name val="Liberation Serif"/>
    </font>
    <font>
      <color theme="1"/>
      <name val="Arial"/>
      <scheme val="minor"/>
    </font>
    <font>
      <b/>
      <sz val="16.0"/>
      <color rgb="FF000000"/>
      <name val="Times New Roman"/>
    </font>
    <font>
      <b/>
      <sz val="14.0"/>
      <color rgb="FF000000"/>
      <name val="Calibri"/>
    </font>
    <font>
      <b/>
      <sz val="8.0"/>
      <color rgb="FF000000"/>
      <name val="Arial"/>
    </font>
    <font>
      <b/>
      <sz val="11.0"/>
      <color rgb="FF000000"/>
      <name val="Times New Roman"/>
    </font>
    <font>
      <sz val="12.0"/>
      <color rgb="FF000000"/>
      <name val="Arial"/>
    </font>
    <font>
      <sz val="7.0"/>
      <color rgb="FF000000"/>
      <name val="Arial"/>
    </font>
    <font>
      <sz val="11.0"/>
      <color rgb="FF000000"/>
      <name val="Calibri"/>
    </font>
    <font>
      <b/>
      <sz val="11.0"/>
      <color rgb="FF00000A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2DCDB"/>
        <bgColor rgb="FFF2DC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EECE1"/>
        <bgColor rgb="FFEEECE1"/>
      </patternFill>
    </fill>
  </fills>
  <borders count="1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1"/>
      </bottom>
    </border>
    <border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2" fontId="4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ill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center" wrapText="0"/>
    </xf>
    <xf borderId="5" fillId="3" fontId="5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shrinkToFit="0" vertical="bottom" wrapText="0"/>
    </xf>
    <xf borderId="6" fillId="0" fontId="9" numFmtId="0" xfId="0" applyBorder="1" applyFont="1"/>
    <xf borderId="7" fillId="0" fontId="1" numFmtId="0" xfId="0" applyAlignment="1" applyBorder="1" applyFont="1">
      <alignment horizontal="center" shrinkToFit="0" vertical="bottom" wrapText="0"/>
    </xf>
    <xf borderId="8" fillId="0" fontId="9" numFmtId="0" xfId="0" applyBorder="1" applyFont="1"/>
    <xf borderId="7" fillId="0" fontId="1" numFmtId="0" xfId="0" applyAlignment="1" applyBorder="1" applyFont="1">
      <alignment shrinkToFit="0" vertical="bottom" wrapText="0"/>
    </xf>
    <xf borderId="9" fillId="3" fontId="5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right" shrinkToFit="0" vertical="bottom" wrapText="0"/>
    </xf>
    <xf borderId="10" fillId="0" fontId="9" numFmtId="0" xfId="0" applyBorder="1" applyFont="1"/>
    <xf borderId="1" fillId="0" fontId="9" numFmtId="0" xfId="0" applyBorder="1" applyFont="1"/>
    <xf borderId="7" fillId="0" fontId="9" numFmtId="0" xfId="0" applyBorder="1" applyFont="1"/>
    <xf borderId="11" fillId="0" fontId="9" numFmtId="0" xfId="0" applyBorder="1" applyFont="1"/>
    <xf borderId="4" fillId="5" fontId="7" numFmtId="0" xfId="0" applyAlignment="1" applyBorder="1" applyFill="1" applyFont="1">
      <alignment shrinkToFit="0" vertical="bottom" wrapText="0"/>
    </xf>
    <xf borderId="3" fillId="0" fontId="2" numFmtId="0" xfId="0" applyAlignment="1" applyBorder="1" applyFont="1">
      <alignment horizontal="center" shrinkToFit="0" vertical="center" wrapText="0"/>
    </xf>
    <xf borderId="4" fillId="5" fontId="4" numFmtId="0" xfId="0" applyAlignment="1" applyBorder="1" applyFill="1" applyFont="1">
      <alignment horizontal="center" readingOrder="0" shrinkToFit="0" vertical="bottom" wrapText="0"/>
    </xf>
    <xf borderId="3" fillId="3" fontId="2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ill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10" numFmtId="49" xfId="0" applyAlignment="1" applyBorder="1" applyFont="1" applyNumberFormat="1">
      <alignment horizontal="left" readingOrder="0" shrinkToFit="0" wrapText="1"/>
    </xf>
    <xf borderId="1" fillId="0" fontId="1" numFmtId="2" xfId="0" applyAlignment="1" applyBorder="1" applyFont="1" applyNumberFormat="1">
      <alignment shrinkToFit="0" vertical="bottom" wrapText="0"/>
    </xf>
    <xf borderId="3" fillId="0" fontId="10" numFmtId="3" xfId="0" applyAlignment="1" applyBorder="1" applyFont="1" applyNumberFormat="1">
      <alignment horizontal="center" readingOrder="0" vertical="center"/>
    </xf>
    <xf borderId="3" fillId="0" fontId="11" numFmtId="3" xfId="0" applyAlignment="1" applyBorder="1" applyFont="1" applyNumberFormat="1">
      <alignment horizontal="center" readingOrder="0" vertical="center"/>
    </xf>
    <xf borderId="12" fillId="6" fontId="12" numFmtId="0" xfId="0" applyAlignment="1" applyBorder="1" applyFill="1" applyFont="1">
      <alignment horizontal="center" shrinkToFit="0" vertical="bottom" wrapText="0"/>
    </xf>
    <xf borderId="13" fillId="0" fontId="9" numFmtId="0" xfId="0" applyBorder="1" applyFont="1"/>
    <xf borderId="14" fillId="0" fontId="9" numFmtId="0" xfId="0" applyBorder="1" applyFont="1"/>
    <xf borderId="4" fillId="7" fontId="13" numFmtId="0" xfId="0" applyAlignment="1" applyBorder="1" applyFill="1" applyFont="1">
      <alignment horizontal="right" shrinkToFit="0" vertical="bottom" wrapText="1"/>
    </xf>
    <xf borderId="7" fillId="0" fontId="4" numFmtId="2" xfId="0" applyAlignment="1" applyBorder="1" applyFont="1" applyNumberFormat="1">
      <alignment horizontal="center" shrinkToFit="0" vertical="bottom" wrapText="1"/>
    </xf>
    <xf borderId="4" fillId="8" fontId="14" numFmtId="2" xfId="0" applyAlignment="1" applyBorder="1" applyFill="1" applyFont="1" applyNumberFormat="1">
      <alignment shrinkToFit="0" vertical="bottom" wrapText="1"/>
    </xf>
    <xf borderId="4" fillId="8" fontId="14" numFmtId="0" xfId="0" applyAlignment="1" applyBorder="1" applyFill="1" applyFont="1">
      <alignment shrinkToFit="0" vertical="bottom" wrapText="1"/>
    </xf>
    <xf borderId="4" fillId="9" fontId="14" numFmtId="0" xfId="0" applyAlignment="1" applyBorder="1" applyFill="1" applyFont="1">
      <alignment shrinkToFit="0" vertical="bottom" wrapText="1"/>
    </xf>
    <xf borderId="15" fillId="0" fontId="15" numFmtId="0" xfId="0" applyAlignment="1" applyBorder="1" applyFont="1">
      <alignment horizontal="right" shrinkToFit="0" vertical="bottom" wrapText="1"/>
    </xf>
    <xf borderId="3" fillId="0" fontId="11" numFmtId="3" xfId="0" applyAlignment="1" applyBorder="1" applyFont="1" applyNumberFormat="1">
      <alignment horizontal="center"/>
    </xf>
    <xf borderId="7" fillId="0" fontId="8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readingOrder="0" shrinkToFit="0" vertical="bottom" wrapText="1"/>
    </xf>
    <xf borderId="4" fillId="7" fontId="16" numFmtId="0" xfId="0" applyAlignment="1" applyBorder="1" applyFill="1" applyFont="1">
      <alignment shrinkToFit="0" vertical="bottom" wrapText="1"/>
    </xf>
    <xf borderId="4" fillId="7" fontId="1" numFmtId="0" xfId="0" applyAlignment="1" applyBorder="1" applyFill="1" applyFont="1">
      <alignment shrinkToFit="0" vertical="bottom" wrapText="1"/>
    </xf>
    <xf borderId="7" fillId="0" fontId="1" numFmtId="0" xfId="0" applyAlignment="1" applyBorder="1" applyFont="1">
      <alignment shrinkToFit="0" vertical="bottom" wrapText="1"/>
    </xf>
    <xf borderId="3" fillId="3" fontId="17" numFmtId="3" xfId="0" applyAlignment="1" applyBorder="1" applyFill="1" applyFont="1" applyNumberFormat="1">
      <alignment horizontal="center" shrinkToFit="0" vertical="bottom" wrapText="0"/>
    </xf>
    <xf borderId="7" fillId="0" fontId="15" numFmtId="0" xfId="0" applyAlignment="1" applyBorder="1" applyFont="1">
      <alignment horizontal="right" shrinkToFit="0" vertical="bottom" wrapText="1"/>
    </xf>
    <xf borderId="4" fillId="7" fontId="1" numFmtId="0" xfId="0" applyAlignment="1" applyBorder="1" applyFill="1" applyFont="1">
      <alignment readingOrder="0" shrinkToFit="0" vertical="bottom" wrapText="1"/>
    </xf>
    <xf borderId="3" fillId="0" fontId="18" numFmtId="0" xfId="0" applyAlignment="1" applyBorder="1" applyFont="1">
      <alignment horizontal="center" shrinkToFit="0" vertical="bottom" wrapText="0"/>
    </xf>
    <xf borderId="7" fillId="0" fontId="8" numFmtId="0" xfId="0" applyAlignment="1" applyBorder="1" applyFont="1">
      <alignment horizontal="right" shrinkToFit="0" vertical="bottom" wrapText="0"/>
    </xf>
    <xf borderId="7" fillId="0" fontId="18" numFmtId="0" xfId="0" applyAlignment="1" applyBorder="1" applyFont="1">
      <alignment horizontal="right" shrinkToFit="0" vertical="bottom" wrapText="0"/>
    </xf>
    <xf borderId="7" fillId="0" fontId="18" numFmtId="0" xfId="0" applyAlignment="1" applyBorder="1" applyFont="1">
      <alignment horizontal="center" shrinkToFit="0" vertical="bottom" wrapText="0"/>
    </xf>
    <xf borderId="4" fillId="10" fontId="19" numFmtId="0" xfId="0" applyAlignment="1" applyBorder="1" applyFill="1" applyFont="1">
      <alignment horizontal="right" shrinkToFit="0" vertical="bottom" wrapText="1"/>
    </xf>
    <xf borderId="4" fillId="10" fontId="19" numFmtId="0" xfId="0" applyAlignment="1" applyBorder="1" applyFill="1" applyFont="1">
      <alignment horizontal="center" shrinkToFit="0" vertical="bottom" wrapText="1"/>
    </xf>
    <xf borderId="7" fillId="0" fontId="8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readingOrder="0"/>
    </xf>
    <xf borderId="4" fillId="7" fontId="1" numFmtId="0" xfId="0" applyAlignment="1" applyBorder="1" applyFill="1" applyFont="1">
      <alignment horizontal="right" shrinkToFit="0" vertical="bottom" wrapText="1"/>
    </xf>
    <xf borderId="4" fillId="7" fontId="16" numFmtId="0" xfId="0" applyAlignment="1" applyBorder="1" applyFill="1" applyFont="1">
      <alignment horizontal="right" shrinkToFit="0" vertical="bottom" wrapText="1"/>
    </xf>
    <xf borderId="7" fillId="0" fontId="1" numFmtId="0" xfId="0" applyAlignment="1" applyBorder="1" applyFont="1">
      <alignment horizontal="right" shrinkToFit="0" vertical="bottom" wrapText="1"/>
    </xf>
    <xf borderId="3" fillId="0" fontId="18" numFmtId="3" xfId="0" applyAlignment="1" applyBorder="1" applyFont="1" applyNumberFormat="1">
      <alignment horizontal="center" shrinkToFit="0" vertical="bottom" wrapText="0"/>
    </xf>
    <xf borderId="3" fillId="3" fontId="18" numFmtId="3" xfId="0" applyAlignment="1" applyBorder="1" applyFill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0"/>
    </xf>
    <xf borderId="16" fillId="0" fontId="9" numFmtId="0" xfId="0" applyBorder="1" applyFont="1"/>
    <xf borderId="17" fillId="3" fontId="5" numFmtId="0" xfId="0" applyAlignment="1" applyBorder="1" applyFill="1" applyFont="1">
      <alignment horizontal="center" readingOrder="0" shrinkToFit="0" vertical="center" wrapText="0"/>
    </xf>
    <xf borderId="17" fillId="3" fontId="5" numFmtId="0" xfId="0" applyAlignment="1" applyBorder="1" applyFill="1" applyFont="1">
      <alignment horizontal="center" shrinkToFit="0" vertical="center" wrapText="0"/>
    </xf>
    <xf borderId="18" fillId="0" fontId="9" numFmtId="0" xfId="0" applyBorder="1" applyFont="1"/>
    <xf borderId="3" fillId="3" fontId="5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horizontal="center" shrinkToFit="0" vertical="bottom" wrapText="0"/>
    </xf>
    <xf borderId="3" fillId="3" fontId="18" numFmtId="0" xfId="0" applyAlignment="1" applyBorder="1" applyFill="1" applyFont="1">
      <alignment horizontal="center" shrinkToFit="0" vertical="bottom" wrapText="0"/>
    </xf>
    <xf borderId="0" fillId="0" fontId="11" numFmtId="0" xfId="0" applyAlignment="1" applyFont="1">
      <alignment horizontal="center"/>
    </xf>
    <xf borderId="7" fillId="0" fontId="1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4" fillId="8" fontId="14" numFmtId="2" xfId="0" applyAlignment="1" applyBorder="1" applyFill="1" applyFont="1" applyNumberFormat="1">
      <alignment horizontal="center" shrinkToFit="0" vertical="bottom" wrapText="1"/>
    </xf>
    <xf borderId="4" fillId="8" fontId="14" numFmtId="0" xfId="0" applyAlignment="1" applyBorder="1" applyFill="1" applyFont="1">
      <alignment horizontal="center" shrinkToFit="0" vertical="bottom" wrapText="1"/>
    </xf>
    <xf borderId="7" fillId="0" fontId="1" numFmtId="0" xfId="0" applyAlignment="1" applyBorder="1" applyFont="1">
      <alignment horizontal="center" readingOrder="0" shrinkToFit="0" vertical="bottom" wrapText="1"/>
    </xf>
    <xf borderId="4" fillId="7" fontId="16" numFmtId="0" xfId="0" applyAlignment="1" applyBorder="1" applyFill="1" applyFont="1">
      <alignment horizontal="center" shrinkToFit="0" vertical="bottom" wrapText="1"/>
    </xf>
    <xf borderId="4" fillId="7" fontId="16" numFmtId="0" xfId="0" applyAlignment="1" applyBorder="1" applyFill="1" applyFont="1">
      <alignment readingOrder="0" shrinkToFit="0" vertical="bottom" wrapText="1"/>
    </xf>
    <xf borderId="4" fillId="7" fontId="1" numFmtId="0" xfId="0" applyAlignment="1" applyBorder="1" applyFill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6.88"/>
    <col customWidth="1" min="3" max="3" width="14.88"/>
    <col customWidth="1" min="4" max="4" width="21.25"/>
    <col customWidth="1" min="5" max="5" width="13.38"/>
    <col customWidth="1" min="6" max="15" width="11.38"/>
    <col customWidth="1" min="16" max="16" width="7.5"/>
    <col customWidth="1" min="17" max="17" width="10.25"/>
    <col customWidth="1" min="18" max="21" width="7.5"/>
  </cols>
  <sheetData>
    <row r="1" ht="38.25" customHeight="1">
      <c r="A1" s="1"/>
      <c r="B1" s="1"/>
      <c r="C1" s="3"/>
      <c r="D1" s="3"/>
      <c r="E1" s="3"/>
      <c r="F1" s="3"/>
      <c r="G1" s="3"/>
      <c r="H1" s="3"/>
      <c r="I1" s="3"/>
      <c r="J1" s="3"/>
      <c r="M1" s="4"/>
      <c r="N1" s="4"/>
      <c r="O1" s="4"/>
      <c r="P1" s="4"/>
      <c r="Q1" s="4"/>
      <c r="R1" s="4"/>
      <c r="S1" s="4"/>
      <c r="T1" s="4"/>
      <c r="U1" s="4"/>
    </row>
    <row r="2" ht="38.25" customHeight="1">
      <c r="A2" s="6"/>
      <c r="B2" s="6" t="s">
        <v>1</v>
      </c>
      <c r="C2" s="8" t="s">
        <v>2</v>
      </c>
      <c r="D2" s="10" t="s">
        <v>4</v>
      </c>
      <c r="E2" s="10"/>
      <c r="F2" s="11" t="s">
        <v>12</v>
      </c>
      <c r="G2" s="13"/>
      <c r="H2" s="13"/>
      <c r="I2" s="13"/>
      <c r="J2" s="15"/>
      <c r="K2" s="17" t="s">
        <v>12</v>
      </c>
    </row>
    <row r="3" ht="38.25" customHeight="1">
      <c r="A3" s="6"/>
      <c r="B3" s="6"/>
      <c r="C3" s="18" t="s">
        <v>15</v>
      </c>
      <c r="D3" s="18"/>
      <c r="E3" s="18"/>
      <c r="F3" s="20"/>
      <c r="G3" s="21"/>
      <c r="H3" s="21"/>
      <c r="I3" s="21"/>
      <c r="J3" s="22"/>
      <c r="K3" s="23"/>
    </row>
    <row r="4" ht="38.25" customHeight="1">
      <c r="A4" s="6" t="s">
        <v>17</v>
      </c>
      <c r="B4" s="6" t="s">
        <v>19</v>
      </c>
      <c r="C4" s="25"/>
      <c r="D4" s="25"/>
      <c r="E4" s="25"/>
      <c r="F4" s="27" t="s">
        <v>20</v>
      </c>
      <c r="G4" s="27" t="s">
        <v>21</v>
      </c>
      <c r="H4" s="27" t="s">
        <v>22</v>
      </c>
      <c r="I4" s="27" t="s">
        <v>23</v>
      </c>
      <c r="J4" s="27" t="s">
        <v>24</v>
      </c>
      <c r="K4" s="18" t="s">
        <v>15</v>
      </c>
    </row>
    <row r="5" ht="38.25" customHeight="1">
      <c r="A5" s="29">
        <v>1.0</v>
      </c>
      <c r="B5" s="30" t="s">
        <v>25</v>
      </c>
      <c r="C5" s="32">
        <v>32.0</v>
      </c>
      <c r="D5" s="33" t="s">
        <v>26</v>
      </c>
      <c r="E5" s="43" t="str">
        <f t="shared" ref="E5:E62" si="1">IF(D5="S","100",IF(D5="A+","89",IF(D5="A","84",IF(D5="B+","79",IF(D5="B","74",IF(D5="C+","69",IF(D5="C","64",IF(D5="D","59",IF(D5="P","54",IF(OR(D5="F",D5="FE"),"0",""))))))))))</f>
        <v>69</v>
      </c>
      <c r="F5" s="49">
        <f t="shared" ref="F5:F62" si="2">((C5+E5)/150)*100</f>
        <v>67.33333333</v>
      </c>
      <c r="G5" s="49">
        <f t="shared" ref="G5:G62" si="3">((C5+E5)/150)*100</f>
        <v>67.33333333</v>
      </c>
      <c r="H5" s="49">
        <f t="shared" ref="H5:H62" si="4">((C5+E5)/150)*100</f>
        <v>67.33333333</v>
      </c>
      <c r="I5" s="49">
        <f>((C5+E5)/150)*100</f>
        <v>67.33333333</v>
      </c>
      <c r="J5" s="49">
        <f>((C5+E5)/150)*100</f>
        <v>67.33333333</v>
      </c>
      <c r="K5" s="52">
        <f t="shared" ref="K5:K62" si="6">C5/30*100</f>
        <v>106.6666667</v>
      </c>
    </row>
    <row r="6" ht="38.25" customHeight="1">
      <c r="A6" s="29">
        <v>2.0</v>
      </c>
      <c r="B6" s="30" t="s">
        <v>45</v>
      </c>
      <c r="C6" s="32">
        <v>35.0</v>
      </c>
      <c r="D6" s="33" t="s">
        <v>46</v>
      </c>
      <c r="E6" s="43" t="str">
        <f t="shared" si="1"/>
        <v>54</v>
      </c>
      <c r="F6" s="49">
        <f t="shared" si="2"/>
        <v>59.33333333</v>
      </c>
      <c r="G6" s="49">
        <f t="shared" si="3"/>
        <v>59.33333333</v>
      </c>
      <c r="H6" s="49">
        <f t="shared" si="4"/>
        <v>59.33333333</v>
      </c>
      <c r="I6" s="49">
        <f t="shared" ref="I6:J6" si="5">(H6)/100*100</f>
        <v>59.33333333</v>
      </c>
      <c r="J6" s="49">
        <f t="shared" si="5"/>
        <v>59.33333333</v>
      </c>
      <c r="K6" s="52">
        <f t="shared" si="6"/>
        <v>116.6666667</v>
      </c>
    </row>
    <row r="7" ht="38.25" customHeight="1">
      <c r="A7" s="29">
        <v>3.0</v>
      </c>
      <c r="B7" s="30" t="s">
        <v>48</v>
      </c>
      <c r="C7" s="32">
        <v>32.0</v>
      </c>
      <c r="D7" s="33" t="s">
        <v>46</v>
      </c>
      <c r="E7" s="43" t="str">
        <f t="shared" si="1"/>
        <v>54</v>
      </c>
      <c r="F7" s="49">
        <f t="shared" si="2"/>
        <v>57.33333333</v>
      </c>
      <c r="G7" s="49">
        <f t="shared" si="3"/>
        <v>57.33333333</v>
      </c>
      <c r="H7" s="49">
        <f t="shared" si="4"/>
        <v>57.33333333</v>
      </c>
      <c r="I7" s="49">
        <f t="shared" ref="I7:J7" si="7">(H7)/100*100</f>
        <v>57.33333333</v>
      </c>
      <c r="J7" s="49">
        <f t="shared" si="7"/>
        <v>57.33333333</v>
      </c>
      <c r="K7" s="52">
        <f t="shared" si="6"/>
        <v>106.6666667</v>
      </c>
    </row>
    <row r="8" ht="38.25" customHeight="1">
      <c r="A8" s="29">
        <v>4.0</v>
      </c>
      <c r="B8" s="30" t="s">
        <v>49</v>
      </c>
      <c r="C8" s="32">
        <v>38.0</v>
      </c>
      <c r="D8" s="33" t="s">
        <v>50</v>
      </c>
      <c r="E8" s="43" t="str">
        <f t="shared" si="1"/>
        <v>74</v>
      </c>
      <c r="F8" s="49">
        <f t="shared" si="2"/>
        <v>74.66666667</v>
      </c>
      <c r="G8" s="49">
        <f t="shared" si="3"/>
        <v>74.66666667</v>
      </c>
      <c r="H8" s="49">
        <f t="shared" si="4"/>
        <v>74.66666667</v>
      </c>
      <c r="I8" s="49">
        <f t="shared" ref="I8:J8" si="8">(H8)/100*100</f>
        <v>74.66666667</v>
      </c>
      <c r="J8" s="49">
        <f t="shared" si="8"/>
        <v>74.66666667</v>
      </c>
      <c r="K8" s="52">
        <f t="shared" si="6"/>
        <v>126.6666667</v>
      </c>
    </row>
    <row r="9" ht="38.25" customHeight="1">
      <c r="A9" s="29">
        <v>5.0</v>
      </c>
      <c r="B9" s="30" t="s">
        <v>51</v>
      </c>
      <c r="C9" s="32">
        <v>31.0</v>
      </c>
      <c r="D9" s="33" t="s">
        <v>46</v>
      </c>
      <c r="E9" s="43" t="str">
        <f t="shared" si="1"/>
        <v>54</v>
      </c>
      <c r="F9" s="49">
        <f t="shared" si="2"/>
        <v>56.66666667</v>
      </c>
      <c r="G9" s="49">
        <f t="shared" si="3"/>
        <v>56.66666667</v>
      </c>
      <c r="H9" s="49">
        <f t="shared" si="4"/>
        <v>56.66666667</v>
      </c>
      <c r="I9" s="49">
        <f t="shared" ref="I9:J9" si="9">(H9)/100*100</f>
        <v>56.66666667</v>
      </c>
      <c r="J9" s="49">
        <f t="shared" si="9"/>
        <v>56.66666667</v>
      </c>
      <c r="K9" s="52">
        <f t="shared" si="6"/>
        <v>103.3333333</v>
      </c>
    </row>
    <row r="10" ht="38.25" customHeight="1">
      <c r="A10" s="29">
        <v>6.0</v>
      </c>
      <c r="B10" s="30" t="s">
        <v>54</v>
      </c>
      <c r="C10" s="32">
        <v>36.0</v>
      </c>
      <c r="D10" s="33" t="s">
        <v>55</v>
      </c>
      <c r="E10" s="43" t="str">
        <f t="shared" si="1"/>
        <v>79</v>
      </c>
      <c r="F10" s="49">
        <f t="shared" si="2"/>
        <v>76.66666667</v>
      </c>
      <c r="G10" s="49">
        <f t="shared" si="3"/>
        <v>76.66666667</v>
      </c>
      <c r="H10" s="49">
        <f t="shared" si="4"/>
        <v>76.66666667</v>
      </c>
      <c r="I10" s="49">
        <f t="shared" ref="I10:J10" si="10">(H10)/100*100</f>
        <v>76.66666667</v>
      </c>
      <c r="J10" s="49">
        <f t="shared" si="10"/>
        <v>76.66666667</v>
      </c>
      <c r="K10" s="52">
        <f t="shared" si="6"/>
        <v>120</v>
      </c>
    </row>
    <row r="11" ht="38.25" customHeight="1">
      <c r="A11" s="29">
        <v>7.0</v>
      </c>
      <c r="B11" s="30" t="s">
        <v>56</v>
      </c>
      <c r="C11" s="32">
        <v>28.0</v>
      </c>
      <c r="D11" s="33" t="s">
        <v>57</v>
      </c>
      <c r="E11" s="43" t="str">
        <f t="shared" si="1"/>
        <v>0</v>
      </c>
      <c r="F11" s="49">
        <f t="shared" si="2"/>
        <v>18.66666667</v>
      </c>
      <c r="G11" s="49">
        <f t="shared" si="3"/>
        <v>18.66666667</v>
      </c>
      <c r="H11" s="49">
        <f t="shared" si="4"/>
        <v>18.66666667</v>
      </c>
      <c r="I11" s="49">
        <f t="shared" ref="I11:J11" si="11">(H11)/100*100</f>
        <v>18.66666667</v>
      </c>
      <c r="J11" s="49">
        <f t="shared" si="11"/>
        <v>18.66666667</v>
      </c>
      <c r="K11" s="52">
        <f t="shared" si="6"/>
        <v>93.33333333</v>
      </c>
    </row>
    <row r="12" ht="38.25" customHeight="1">
      <c r="A12" s="29">
        <v>8.0</v>
      </c>
      <c r="B12" s="30" t="s">
        <v>58</v>
      </c>
      <c r="C12" s="32">
        <v>36.0</v>
      </c>
      <c r="D12" s="33" t="s">
        <v>59</v>
      </c>
      <c r="E12" s="43" t="str">
        <f t="shared" si="1"/>
        <v>59</v>
      </c>
      <c r="F12" s="49">
        <f t="shared" si="2"/>
        <v>63.33333333</v>
      </c>
      <c r="G12" s="49">
        <f t="shared" si="3"/>
        <v>63.33333333</v>
      </c>
      <c r="H12" s="49">
        <f t="shared" si="4"/>
        <v>63.33333333</v>
      </c>
      <c r="I12" s="49">
        <f t="shared" ref="I12:J12" si="12">(H12)/100*100</f>
        <v>63.33333333</v>
      </c>
      <c r="J12" s="49">
        <f t="shared" si="12"/>
        <v>63.33333333</v>
      </c>
      <c r="K12" s="52">
        <f t="shared" si="6"/>
        <v>120</v>
      </c>
    </row>
    <row r="13" ht="38.25" customHeight="1">
      <c r="A13" s="29">
        <v>9.0</v>
      </c>
      <c r="B13" s="30" t="s">
        <v>60</v>
      </c>
      <c r="C13" s="32">
        <v>40.0</v>
      </c>
      <c r="D13" s="33" t="s">
        <v>55</v>
      </c>
      <c r="E13" s="43" t="str">
        <f t="shared" si="1"/>
        <v>79</v>
      </c>
      <c r="F13" s="49">
        <f t="shared" si="2"/>
        <v>79.33333333</v>
      </c>
      <c r="G13" s="49">
        <f t="shared" si="3"/>
        <v>79.33333333</v>
      </c>
      <c r="H13" s="49">
        <f t="shared" si="4"/>
        <v>79.33333333</v>
      </c>
      <c r="I13" s="49">
        <f t="shared" ref="I13:J13" si="13">(H13)/100*100</f>
        <v>79.33333333</v>
      </c>
      <c r="J13" s="49">
        <f t="shared" si="13"/>
        <v>79.33333333</v>
      </c>
      <c r="K13" s="52">
        <f t="shared" si="6"/>
        <v>133.3333333</v>
      </c>
      <c r="N13" s="59" t="s">
        <v>61</v>
      </c>
    </row>
    <row r="14" ht="38.25" customHeight="1">
      <c r="A14" s="29">
        <v>10.0</v>
      </c>
      <c r="B14" s="30" t="s">
        <v>62</v>
      </c>
      <c r="C14" s="32">
        <v>39.0</v>
      </c>
      <c r="D14" s="33" t="s">
        <v>63</v>
      </c>
      <c r="E14" s="43" t="str">
        <f t="shared" si="1"/>
        <v>64</v>
      </c>
      <c r="F14" s="49">
        <f t="shared" si="2"/>
        <v>68.66666667</v>
      </c>
      <c r="G14" s="49">
        <f t="shared" si="3"/>
        <v>68.66666667</v>
      </c>
      <c r="H14" s="49">
        <f t="shared" si="4"/>
        <v>68.66666667</v>
      </c>
      <c r="I14" s="49">
        <f t="shared" ref="I14:J14" si="14">(H14)/100*100</f>
        <v>68.66666667</v>
      </c>
      <c r="J14" s="49">
        <f t="shared" si="14"/>
        <v>68.66666667</v>
      </c>
      <c r="K14" s="52">
        <f t="shared" si="6"/>
        <v>130</v>
      </c>
    </row>
    <row r="15" ht="38.25" customHeight="1">
      <c r="A15" s="29">
        <v>11.0</v>
      </c>
      <c r="B15" s="30" t="s">
        <v>64</v>
      </c>
      <c r="C15" s="32">
        <v>44.0</v>
      </c>
      <c r="D15" s="33" t="s">
        <v>65</v>
      </c>
      <c r="E15" s="43" t="str">
        <f t="shared" si="1"/>
        <v>84</v>
      </c>
      <c r="F15" s="49">
        <f t="shared" si="2"/>
        <v>85.33333333</v>
      </c>
      <c r="G15" s="49">
        <f t="shared" si="3"/>
        <v>85.33333333</v>
      </c>
      <c r="H15" s="49">
        <f t="shared" si="4"/>
        <v>85.33333333</v>
      </c>
      <c r="I15" s="49">
        <f t="shared" ref="I15:J15" si="15">(H15)/100*100</f>
        <v>85.33333333</v>
      </c>
      <c r="J15" s="49">
        <f t="shared" si="15"/>
        <v>85.33333333</v>
      </c>
      <c r="K15" s="52">
        <f t="shared" si="6"/>
        <v>146.6666667</v>
      </c>
    </row>
    <row r="16" ht="38.25" customHeight="1">
      <c r="A16" s="29">
        <v>12.0</v>
      </c>
      <c r="B16" s="30" t="s">
        <v>66</v>
      </c>
      <c r="C16" s="32">
        <v>44.0</v>
      </c>
      <c r="D16" s="33" t="s">
        <v>55</v>
      </c>
      <c r="E16" s="43" t="str">
        <f t="shared" si="1"/>
        <v>79</v>
      </c>
      <c r="F16" s="49">
        <f t="shared" si="2"/>
        <v>82</v>
      </c>
      <c r="G16" s="49">
        <f t="shared" si="3"/>
        <v>82</v>
      </c>
      <c r="H16" s="49">
        <f t="shared" si="4"/>
        <v>82</v>
      </c>
      <c r="I16" s="49">
        <f t="shared" ref="I16:J16" si="16">(H16)/100*100</f>
        <v>82</v>
      </c>
      <c r="J16" s="49">
        <f t="shared" si="16"/>
        <v>82</v>
      </c>
      <c r="K16" s="52">
        <f t="shared" si="6"/>
        <v>146.6666667</v>
      </c>
    </row>
    <row r="17" ht="38.25" customHeight="1">
      <c r="A17" s="29">
        <v>13.0</v>
      </c>
      <c r="B17" s="30" t="s">
        <v>67</v>
      </c>
      <c r="C17" s="32">
        <v>41.0</v>
      </c>
      <c r="D17" s="33" t="s">
        <v>50</v>
      </c>
      <c r="E17" s="43" t="str">
        <f t="shared" si="1"/>
        <v>74</v>
      </c>
      <c r="F17" s="49">
        <f t="shared" si="2"/>
        <v>76.66666667</v>
      </c>
      <c r="G17" s="49">
        <f t="shared" si="3"/>
        <v>76.66666667</v>
      </c>
      <c r="H17" s="49">
        <f t="shared" si="4"/>
        <v>76.66666667</v>
      </c>
      <c r="I17" s="49">
        <f t="shared" ref="I17:J17" si="17">(H17)/100*100</f>
        <v>76.66666667</v>
      </c>
      <c r="J17" s="49">
        <f t="shared" si="17"/>
        <v>76.66666667</v>
      </c>
      <c r="K17" s="52">
        <f t="shared" si="6"/>
        <v>136.6666667</v>
      </c>
    </row>
    <row r="18" ht="38.25" customHeight="1">
      <c r="A18" s="29">
        <v>14.0</v>
      </c>
      <c r="B18" s="30" t="s">
        <v>68</v>
      </c>
      <c r="C18" s="32">
        <v>42.0</v>
      </c>
      <c r="D18" s="33" t="s">
        <v>50</v>
      </c>
      <c r="E18" s="43" t="str">
        <f t="shared" si="1"/>
        <v>74</v>
      </c>
      <c r="F18" s="49">
        <f t="shared" si="2"/>
        <v>77.33333333</v>
      </c>
      <c r="G18" s="49">
        <f t="shared" si="3"/>
        <v>77.33333333</v>
      </c>
      <c r="H18" s="49">
        <f t="shared" si="4"/>
        <v>77.33333333</v>
      </c>
      <c r="I18" s="49">
        <f t="shared" ref="I18:J18" si="18">(H18)/100*100</f>
        <v>77.33333333</v>
      </c>
      <c r="J18" s="49">
        <f t="shared" si="18"/>
        <v>77.33333333</v>
      </c>
      <c r="K18" s="52">
        <f t="shared" si="6"/>
        <v>140</v>
      </c>
    </row>
    <row r="19" ht="38.25" customHeight="1">
      <c r="A19" s="29">
        <v>15.0</v>
      </c>
      <c r="B19" s="30" t="s">
        <v>69</v>
      </c>
      <c r="C19" s="32">
        <v>37.0</v>
      </c>
      <c r="D19" s="33" t="s">
        <v>63</v>
      </c>
      <c r="E19" s="43" t="str">
        <f t="shared" si="1"/>
        <v>64</v>
      </c>
      <c r="F19" s="49">
        <f t="shared" si="2"/>
        <v>67.33333333</v>
      </c>
      <c r="G19" s="49">
        <f t="shared" si="3"/>
        <v>67.33333333</v>
      </c>
      <c r="H19" s="49">
        <f t="shared" si="4"/>
        <v>67.33333333</v>
      </c>
      <c r="I19" s="49">
        <f t="shared" ref="I19:J19" si="19">(H19)/100*100</f>
        <v>67.33333333</v>
      </c>
      <c r="J19" s="49">
        <f t="shared" si="19"/>
        <v>67.33333333</v>
      </c>
      <c r="K19" s="52">
        <f t="shared" si="6"/>
        <v>123.3333333</v>
      </c>
    </row>
    <row r="20" ht="38.25" customHeight="1">
      <c r="A20" s="29">
        <v>16.0</v>
      </c>
      <c r="B20" s="30" t="s">
        <v>70</v>
      </c>
      <c r="C20" s="32">
        <v>47.0</v>
      </c>
      <c r="D20" s="33" t="s">
        <v>71</v>
      </c>
      <c r="E20" s="43" t="str">
        <f t="shared" si="1"/>
        <v>89</v>
      </c>
      <c r="F20" s="49">
        <f t="shared" si="2"/>
        <v>90.66666667</v>
      </c>
      <c r="G20" s="49">
        <f t="shared" si="3"/>
        <v>90.66666667</v>
      </c>
      <c r="H20" s="49">
        <f t="shared" si="4"/>
        <v>90.66666667</v>
      </c>
      <c r="I20" s="49">
        <f t="shared" ref="I20:J20" si="20">(H20)/100*100</f>
        <v>90.66666667</v>
      </c>
      <c r="J20" s="49">
        <f t="shared" si="20"/>
        <v>90.66666667</v>
      </c>
      <c r="K20" s="52">
        <f t="shared" si="6"/>
        <v>156.6666667</v>
      </c>
    </row>
    <row r="21" ht="38.25" customHeight="1">
      <c r="A21" s="29">
        <v>17.0</v>
      </c>
      <c r="B21" s="30" t="s">
        <v>72</v>
      </c>
      <c r="C21" s="32">
        <v>37.0</v>
      </c>
      <c r="D21" s="33" t="s">
        <v>63</v>
      </c>
      <c r="E21" s="43" t="str">
        <f t="shared" si="1"/>
        <v>64</v>
      </c>
      <c r="F21" s="49">
        <f t="shared" si="2"/>
        <v>67.33333333</v>
      </c>
      <c r="G21" s="49">
        <f t="shared" si="3"/>
        <v>67.33333333</v>
      </c>
      <c r="H21" s="49">
        <f t="shared" si="4"/>
        <v>67.33333333</v>
      </c>
      <c r="I21" s="49">
        <f t="shared" ref="I21:J21" si="21">(H21)/100*100</f>
        <v>67.33333333</v>
      </c>
      <c r="J21" s="49">
        <f t="shared" si="21"/>
        <v>67.33333333</v>
      </c>
      <c r="K21" s="52">
        <f t="shared" si="6"/>
        <v>123.3333333</v>
      </c>
    </row>
    <row r="22" ht="38.25" customHeight="1">
      <c r="A22" s="29">
        <v>18.0</v>
      </c>
      <c r="B22" s="30" t="s">
        <v>73</v>
      </c>
      <c r="C22" s="32">
        <v>26.0</v>
      </c>
      <c r="D22" s="33" t="s">
        <v>57</v>
      </c>
      <c r="E22" s="43" t="str">
        <f t="shared" si="1"/>
        <v>0</v>
      </c>
      <c r="F22" s="49">
        <f t="shared" si="2"/>
        <v>17.33333333</v>
      </c>
      <c r="G22" s="49">
        <f t="shared" si="3"/>
        <v>17.33333333</v>
      </c>
      <c r="H22" s="49">
        <f t="shared" si="4"/>
        <v>17.33333333</v>
      </c>
      <c r="I22" s="49">
        <f t="shared" ref="I22:J22" si="22">(H22)/100*100</f>
        <v>17.33333333</v>
      </c>
      <c r="J22" s="49">
        <f t="shared" si="22"/>
        <v>17.33333333</v>
      </c>
      <c r="K22" s="52">
        <f t="shared" si="6"/>
        <v>86.66666667</v>
      </c>
    </row>
    <row r="23" ht="38.25" customHeight="1">
      <c r="A23" s="29">
        <v>19.0</v>
      </c>
      <c r="B23" s="30" t="s">
        <v>74</v>
      </c>
      <c r="C23" s="32">
        <v>36.0</v>
      </c>
      <c r="D23" s="33" t="s">
        <v>55</v>
      </c>
      <c r="E23" s="43" t="str">
        <f t="shared" si="1"/>
        <v>79</v>
      </c>
      <c r="F23" s="49">
        <f t="shared" si="2"/>
        <v>76.66666667</v>
      </c>
      <c r="G23" s="49">
        <f t="shared" si="3"/>
        <v>76.66666667</v>
      </c>
      <c r="H23" s="49">
        <f t="shared" si="4"/>
        <v>76.66666667</v>
      </c>
      <c r="I23" s="49">
        <f t="shared" ref="I23:J23" si="23">(H23)/100*100</f>
        <v>76.66666667</v>
      </c>
      <c r="J23" s="49">
        <f t="shared" si="23"/>
        <v>76.66666667</v>
      </c>
      <c r="K23" s="52">
        <f t="shared" si="6"/>
        <v>120</v>
      </c>
    </row>
    <row r="24" ht="38.25" customHeight="1">
      <c r="A24" s="29">
        <v>20.0</v>
      </c>
      <c r="B24" s="30" t="s">
        <v>75</v>
      </c>
      <c r="C24" s="32">
        <v>35.0</v>
      </c>
      <c r="D24" s="33" t="s">
        <v>46</v>
      </c>
      <c r="E24" s="43" t="str">
        <f t="shared" si="1"/>
        <v>54</v>
      </c>
      <c r="F24" s="49">
        <f t="shared" si="2"/>
        <v>59.33333333</v>
      </c>
      <c r="G24" s="49">
        <f t="shared" si="3"/>
        <v>59.33333333</v>
      </c>
      <c r="H24" s="49">
        <f t="shared" si="4"/>
        <v>59.33333333</v>
      </c>
      <c r="I24" s="49">
        <f t="shared" ref="I24:J24" si="24">(H24)/100*100</f>
        <v>59.33333333</v>
      </c>
      <c r="J24" s="49">
        <f t="shared" si="24"/>
        <v>59.33333333</v>
      </c>
      <c r="K24" s="52">
        <f t="shared" si="6"/>
        <v>116.6666667</v>
      </c>
    </row>
    <row r="25" ht="38.25" customHeight="1">
      <c r="A25" s="29">
        <v>21.0</v>
      </c>
      <c r="B25" s="30" t="s">
        <v>76</v>
      </c>
      <c r="C25" s="32">
        <v>45.0</v>
      </c>
      <c r="D25" s="33" t="s">
        <v>65</v>
      </c>
      <c r="E25" s="43" t="str">
        <f t="shared" si="1"/>
        <v>84</v>
      </c>
      <c r="F25" s="49">
        <f t="shared" si="2"/>
        <v>86</v>
      </c>
      <c r="G25" s="49">
        <f t="shared" si="3"/>
        <v>86</v>
      </c>
      <c r="H25" s="49">
        <f t="shared" si="4"/>
        <v>86</v>
      </c>
      <c r="I25" s="49">
        <f t="shared" ref="I25:J25" si="25">(H25)/100*100</f>
        <v>86</v>
      </c>
      <c r="J25" s="49">
        <f t="shared" si="25"/>
        <v>86</v>
      </c>
      <c r="K25" s="52">
        <f t="shared" si="6"/>
        <v>150</v>
      </c>
    </row>
    <row r="26" ht="38.25" customHeight="1">
      <c r="A26" s="29">
        <v>22.0</v>
      </c>
      <c r="B26" s="30" t="s">
        <v>77</v>
      </c>
      <c r="C26" s="32">
        <v>34.0</v>
      </c>
      <c r="D26" s="33" t="s">
        <v>59</v>
      </c>
      <c r="E26" s="43" t="str">
        <f t="shared" si="1"/>
        <v>59</v>
      </c>
      <c r="F26" s="49">
        <f t="shared" si="2"/>
        <v>62</v>
      </c>
      <c r="G26" s="49">
        <f t="shared" si="3"/>
        <v>62</v>
      </c>
      <c r="H26" s="49">
        <f t="shared" si="4"/>
        <v>62</v>
      </c>
      <c r="I26" s="49">
        <f t="shared" ref="I26:J26" si="26">(H26)/100*100</f>
        <v>62</v>
      </c>
      <c r="J26" s="49">
        <f t="shared" si="26"/>
        <v>62</v>
      </c>
      <c r="K26" s="52">
        <f t="shared" si="6"/>
        <v>113.3333333</v>
      </c>
    </row>
    <row r="27" ht="38.25" customHeight="1">
      <c r="A27" s="29">
        <v>23.0</v>
      </c>
      <c r="B27" s="30" t="s">
        <v>78</v>
      </c>
      <c r="C27" s="32">
        <v>41.0</v>
      </c>
      <c r="D27" s="33" t="s">
        <v>59</v>
      </c>
      <c r="E27" s="43" t="str">
        <f t="shared" si="1"/>
        <v>59</v>
      </c>
      <c r="F27" s="49">
        <f t="shared" si="2"/>
        <v>66.66666667</v>
      </c>
      <c r="G27" s="49">
        <f t="shared" si="3"/>
        <v>66.66666667</v>
      </c>
      <c r="H27" s="49">
        <f t="shared" si="4"/>
        <v>66.66666667</v>
      </c>
      <c r="I27" s="49">
        <f t="shared" ref="I27:J27" si="27">(H27)/100*100</f>
        <v>66.66666667</v>
      </c>
      <c r="J27" s="49">
        <f t="shared" si="27"/>
        <v>66.66666667</v>
      </c>
      <c r="K27" s="52">
        <f t="shared" si="6"/>
        <v>136.6666667</v>
      </c>
    </row>
    <row r="28" ht="38.25" customHeight="1">
      <c r="A28" s="29">
        <v>24.0</v>
      </c>
      <c r="B28" s="30" t="s">
        <v>79</v>
      </c>
      <c r="C28" s="32">
        <v>41.0</v>
      </c>
      <c r="D28" s="33" t="s">
        <v>26</v>
      </c>
      <c r="E28" s="43" t="str">
        <f t="shared" si="1"/>
        <v>69</v>
      </c>
      <c r="F28" s="49">
        <f t="shared" si="2"/>
        <v>73.33333333</v>
      </c>
      <c r="G28" s="49">
        <f t="shared" si="3"/>
        <v>73.33333333</v>
      </c>
      <c r="H28" s="49">
        <f t="shared" si="4"/>
        <v>73.33333333</v>
      </c>
      <c r="I28" s="49">
        <f t="shared" ref="I28:J28" si="28">(H28)/100*100</f>
        <v>73.33333333</v>
      </c>
      <c r="J28" s="49">
        <f t="shared" si="28"/>
        <v>73.33333333</v>
      </c>
      <c r="K28" s="52">
        <f t="shared" si="6"/>
        <v>136.6666667</v>
      </c>
    </row>
    <row r="29" ht="38.25" customHeight="1">
      <c r="A29" s="29">
        <v>25.0</v>
      </c>
      <c r="B29" s="30" t="s">
        <v>80</v>
      </c>
      <c r="C29" s="32">
        <v>34.0</v>
      </c>
      <c r="D29" s="33" t="s">
        <v>59</v>
      </c>
      <c r="E29" s="43" t="str">
        <f t="shared" si="1"/>
        <v>59</v>
      </c>
      <c r="F29" s="49">
        <f t="shared" si="2"/>
        <v>62</v>
      </c>
      <c r="G29" s="49">
        <f t="shared" si="3"/>
        <v>62</v>
      </c>
      <c r="H29" s="49">
        <f t="shared" si="4"/>
        <v>62</v>
      </c>
      <c r="I29" s="49">
        <f t="shared" ref="I29:J29" si="29">(H29)/100*100</f>
        <v>62</v>
      </c>
      <c r="J29" s="49">
        <f t="shared" si="29"/>
        <v>62</v>
      </c>
      <c r="K29" s="52">
        <f t="shared" si="6"/>
        <v>113.3333333</v>
      </c>
    </row>
    <row r="30" ht="38.25" customHeight="1">
      <c r="A30" s="29">
        <v>26.0</v>
      </c>
      <c r="B30" s="30" t="s">
        <v>81</v>
      </c>
      <c r="C30" s="32">
        <v>34.0</v>
      </c>
      <c r="D30" s="33" t="s">
        <v>59</v>
      </c>
      <c r="E30" s="43" t="str">
        <f t="shared" si="1"/>
        <v>59</v>
      </c>
      <c r="F30" s="49">
        <f t="shared" si="2"/>
        <v>62</v>
      </c>
      <c r="G30" s="49">
        <f t="shared" si="3"/>
        <v>62</v>
      </c>
      <c r="H30" s="49">
        <f t="shared" si="4"/>
        <v>62</v>
      </c>
      <c r="I30" s="49">
        <f t="shared" ref="I30:J30" si="30">(H30)/100*100</f>
        <v>62</v>
      </c>
      <c r="J30" s="49">
        <f t="shared" si="30"/>
        <v>62</v>
      </c>
      <c r="K30" s="52">
        <f t="shared" si="6"/>
        <v>113.3333333</v>
      </c>
    </row>
    <row r="31" ht="38.25" customHeight="1">
      <c r="A31" s="29">
        <v>27.0</v>
      </c>
      <c r="B31" s="30" t="s">
        <v>82</v>
      </c>
      <c r="C31" s="32">
        <v>31.0</v>
      </c>
      <c r="D31" s="33" t="s">
        <v>46</v>
      </c>
      <c r="E31" s="43" t="str">
        <f t="shared" si="1"/>
        <v>54</v>
      </c>
      <c r="F31" s="49">
        <f t="shared" si="2"/>
        <v>56.66666667</v>
      </c>
      <c r="G31" s="49">
        <f t="shared" si="3"/>
        <v>56.66666667</v>
      </c>
      <c r="H31" s="49">
        <f t="shared" si="4"/>
        <v>56.66666667</v>
      </c>
      <c r="I31" s="49">
        <f t="shared" ref="I31:J31" si="31">(H31)/100*100</f>
        <v>56.66666667</v>
      </c>
      <c r="J31" s="49">
        <f t="shared" si="31"/>
        <v>56.66666667</v>
      </c>
      <c r="K31" s="52">
        <f t="shared" si="6"/>
        <v>103.3333333</v>
      </c>
    </row>
    <row r="32" ht="38.25" customHeight="1">
      <c r="A32" s="29">
        <v>28.0</v>
      </c>
      <c r="B32" s="30" t="s">
        <v>83</v>
      </c>
      <c r="C32" s="32">
        <v>33.0</v>
      </c>
      <c r="D32" s="33" t="s">
        <v>63</v>
      </c>
      <c r="E32" s="43" t="str">
        <f t="shared" si="1"/>
        <v>64</v>
      </c>
      <c r="F32" s="49">
        <f t="shared" si="2"/>
        <v>64.66666667</v>
      </c>
      <c r="G32" s="49">
        <f t="shared" si="3"/>
        <v>64.66666667</v>
      </c>
      <c r="H32" s="49">
        <f t="shared" si="4"/>
        <v>64.66666667</v>
      </c>
      <c r="I32" s="49">
        <f t="shared" ref="I32:J32" si="32">(H32)/100*100</f>
        <v>64.66666667</v>
      </c>
      <c r="J32" s="49">
        <f t="shared" si="32"/>
        <v>64.66666667</v>
      </c>
      <c r="K32" s="52">
        <f t="shared" si="6"/>
        <v>110</v>
      </c>
    </row>
    <row r="33" ht="38.25" customHeight="1">
      <c r="A33" s="29">
        <v>29.0</v>
      </c>
      <c r="B33" s="30" t="s">
        <v>84</v>
      </c>
      <c r="C33" s="32">
        <v>29.0</v>
      </c>
      <c r="D33" s="33" t="s">
        <v>57</v>
      </c>
      <c r="E33" s="43" t="str">
        <f t="shared" si="1"/>
        <v>0</v>
      </c>
      <c r="F33" s="49">
        <f t="shared" si="2"/>
        <v>19.33333333</v>
      </c>
      <c r="G33" s="49">
        <f t="shared" si="3"/>
        <v>19.33333333</v>
      </c>
      <c r="H33" s="49">
        <f t="shared" si="4"/>
        <v>19.33333333</v>
      </c>
      <c r="I33" s="49">
        <f t="shared" ref="I33:J33" si="33">(H33)/100*100</f>
        <v>19.33333333</v>
      </c>
      <c r="J33" s="49">
        <f t="shared" si="33"/>
        <v>19.33333333</v>
      </c>
      <c r="K33" s="52">
        <f t="shared" si="6"/>
        <v>96.66666667</v>
      </c>
    </row>
    <row r="34" ht="38.25" customHeight="1">
      <c r="A34" s="29">
        <v>30.0</v>
      </c>
      <c r="B34" s="30" t="s">
        <v>85</v>
      </c>
      <c r="C34" s="32">
        <v>30.0</v>
      </c>
      <c r="D34" s="33" t="s">
        <v>57</v>
      </c>
      <c r="E34" s="43" t="str">
        <f t="shared" si="1"/>
        <v>0</v>
      </c>
      <c r="F34" s="49">
        <f t="shared" si="2"/>
        <v>20</v>
      </c>
      <c r="G34" s="49">
        <f t="shared" si="3"/>
        <v>20</v>
      </c>
      <c r="H34" s="49">
        <f t="shared" si="4"/>
        <v>20</v>
      </c>
      <c r="I34" s="49">
        <f t="shared" ref="I34:J34" si="34">(H34)/100*100</f>
        <v>20</v>
      </c>
      <c r="J34" s="49">
        <f t="shared" si="34"/>
        <v>20</v>
      </c>
      <c r="K34" s="52">
        <f t="shared" si="6"/>
        <v>100</v>
      </c>
    </row>
    <row r="35" ht="38.25" customHeight="1">
      <c r="A35" s="29">
        <v>31.0</v>
      </c>
      <c r="B35" s="30" t="s">
        <v>86</v>
      </c>
      <c r="C35" s="32">
        <v>32.0</v>
      </c>
      <c r="D35" s="33" t="s">
        <v>46</v>
      </c>
      <c r="E35" s="43" t="str">
        <f t="shared" si="1"/>
        <v>54</v>
      </c>
      <c r="F35" s="49">
        <f t="shared" si="2"/>
        <v>57.33333333</v>
      </c>
      <c r="G35" s="49">
        <f t="shared" si="3"/>
        <v>57.33333333</v>
      </c>
      <c r="H35" s="49">
        <f t="shared" si="4"/>
        <v>57.33333333</v>
      </c>
      <c r="I35" s="49">
        <f t="shared" ref="I35:J35" si="35">(H35)/100*100</f>
        <v>57.33333333</v>
      </c>
      <c r="J35" s="49">
        <f t="shared" si="35"/>
        <v>57.33333333</v>
      </c>
      <c r="K35" s="52">
        <f t="shared" si="6"/>
        <v>106.6666667</v>
      </c>
    </row>
    <row r="36" ht="38.25" customHeight="1">
      <c r="A36" s="29">
        <v>32.0</v>
      </c>
      <c r="B36" s="30" t="s">
        <v>87</v>
      </c>
      <c r="C36" s="32">
        <v>31.0</v>
      </c>
      <c r="D36" s="33" t="s">
        <v>46</v>
      </c>
      <c r="E36" s="43" t="str">
        <f t="shared" si="1"/>
        <v>54</v>
      </c>
      <c r="F36" s="49">
        <f t="shared" si="2"/>
        <v>56.66666667</v>
      </c>
      <c r="G36" s="49">
        <f t="shared" si="3"/>
        <v>56.66666667</v>
      </c>
      <c r="H36" s="49">
        <f t="shared" si="4"/>
        <v>56.66666667</v>
      </c>
      <c r="I36" s="49">
        <f t="shared" ref="I36:J36" si="36">(H36)/100*100</f>
        <v>56.66666667</v>
      </c>
      <c r="J36" s="49">
        <f t="shared" si="36"/>
        <v>56.66666667</v>
      </c>
      <c r="K36" s="52">
        <f t="shared" si="6"/>
        <v>103.3333333</v>
      </c>
    </row>
    <row r="37" ht="38.25" customHeight="1">
      <c r="A37" s="29">
        <v>33.0</v>
      </c>
      <c r="B37" s="30" t="s">
        <v>88</v>
      </c>
      <c r="C37" s="32">
        <v>32.0</v>
      </c>
      <c r="D37" s="33" t="s">
        <v>46</v>
      </c>
      <c r="E37" s="43" t="str">
        <f t="shared" si="1"/>
        <v>54</v>
      </c>
      <c r="F37" s="49">
        <f t="shared" si="2"/>
        <v>57.33333333</v>
      </c>
      <c r="G37" s="49">
        <f t="shared" si="3"/>
        <v>57.33333333</v>
      </c>
      <c r="H37" s="49">
        <f t="shared" si="4"/>
        <v>57.33333333</v>
      </c>
      <c r="I37" s="49">
        <f t="shared" ref="I37:J37" si="37">(H37)/100*100</f>
        <v>57.33333333</v>
      </c>
      <c r="J37" s="49">
        <f t="shared" si="37"/>
        <v>57.33333333</v>
      </c>
      <c r="K37" s="52">
        <f t="shared" si="6"/>
        <v>106.6666667</v>
      </c>
    </row>
    <row r="38" ht="38.25" customHeight="1">
      <c r="A38" s="29">
        <v>34.0</v>
      </c>
      <c r="B38" s="30" t="s">
        <v>89</v>
      </c>
      <c r="C38" s="32">
        <v>36.0</v>
      </c>
      <c r="D38" s="33" t="s">
        <v>46</v>
      </c>
      <c r="E38" s="43" t="str">
        <f t="shared" si="1"/>
        <v>54</v>
      </c>
      <c r="F38" s="49">
        <f t="shared" si="2"/>
        <v>60</v>
      </c>
      <c r="G38" s="49">
        <f t="shared" si="3"/>
        <v>60</v>
      </c>
      <c r="H38" s="49">
        <f t="shared" si="4"/>
        <v>60</v>
      </c>
      <c r="I38" s="49">
        <f t="shared" ref="I38:J38" si="38">(H38)/100*100</f>
        <v>60</v>
      </c>
      <c r="J38" s="49">
        <f t="shared" si="38"/>
        <v>60</v>
      </c>
      <c r="K38" s="52">
        <f t="shared" si="6"/>
        <v>120</v>
      </c>
    </row>
    <row r="39" ht="38.25" customHeight="1">
      <c r="A39" s="29">
        <v>35.0</v>
      </c>
      <c r="B39" s="30" t="s">
        <v>90</v>
      </c>
      <c r="C39" s="32">
        <v>44.0</v>
      </c>
      <c r="D39" s="33" t="s">
        <v>71</v>
      </c>
      <c r="E39" s="43" t="str">
        <f t="shared" si="1"/>
        <v>89</v>
      </c>
      <c r="F39" s="49">
        <f t="shared" si="2"/>
        <v>88.66666667</v>
      </c>
      <c r="G39" s="49">
        <f t="shared" si="3"/>
        <v>88.66666667</v>
      </c>
      <c r="H39" s="49">
        <f t="shared" si="4"/>
        <v>88.66666667</v>
      </c>
      <c r="I39" s="49">
        <f t="shared" ref="I39:J39" si="39">(H39)/100*100</f>
        <v>88.66666667</v>
      </c>
      <c r="J39" s="49">
        <f t="shared" si="39"/>
        <v>88.66666667</v>
      </c>
      <c r="K39" s="52">
        <f t="shared" si="6"/>
        <v>146.6666667</v>
      </c>
    </row>
    <row r="40" ht="38.25" customHeight="1">
      <c r="A40" s="29">
        <v>36.0</v>
      </c>
      <c r="B40" s="30" t="s">
        <v>91</v>
      </c>
      <c r="C40" s="32">
        <v>43.0</v>
      </c>
      <c r="D40" s="33" t="s">
        <v>50</v>
      </c>
      <c r="E40" s="43" t="str">
        <f t="shared" si="1"/>
        <v>74</v>
      </c>
      <c r="F40" s="49">
        <f t="shared" si="2"/>
        <v>78</v>
      </c>
      <c r="G40" s="49">
        <f t="shared" si="3"/>
        <v>78</v>
      </c>
      <c r="H40" s="49">
        <f t="shared" si="4"/>
        <v>78</v>
      </c>
      <c r="I40" s="49">
        <f t="shared" ref="I40:J40" si="40">(H40)/100*100</f>
        <v>78</v>
      </c>
      <c r="J40" s="49">
        <f t="shared" si="40"/>
        <v>78</v>
      </c>
      <c r="K40" s="52">
        <f t="shared" si="6"/>
        <v>143.3333333</v>
      </c>
    </row>
    <row r="41" ht="38.25" customHeight="1">
      <c r="A41" s="29">
        <v>37.0</v>
      </c>
      <c r="B41" s="30" t="s">
        <v>92</v>
      </c>
      <c r="C41" s="32">
        <v>32.0</v>
      </c>
      <c r="D41" s="33" t="s">
        <v>57</v>
      </c>
      <c r="E41" s="43" t="str">
        <f t="shared" si="1"/>
        <v>0</v>
      </c>
      <c r="F41" s="49">
        <f t="shared" si="2"/>
        <v>21.33333333</v>
      </c>
      <c r="G41" s="49">
        <f t="shared" si="3"/>
        <v>21.33333333</v>
      </c>
      <c r="H41" s="49">
        <f t="shared" si="4"/>
        <v>21.33333333</v>
      </c>
      <c r="I41" s="49">
        <f t="shared" ref="I41:J41" si="41">(H41)/100*100</f>
        <v>21.33333333</v>
      </c>
      <c r="J41" s="49">
        <f t="shared" si="41"/>
        <v>21.33333333</v>
      </c>
      <c r="K41" s="52">
        <f t="shared" si="6"/>
        <v>106.6666667</v>
      </c>
    </row>
    <row r="42" ht="38.25" customHeight="1">
      <c r="A42" s="29">
        <v>38.0</v>
      </c>
      <c r="B42" s="30" t="s">
        <v>93</v>
      </c>
      <c r="C42" s="32">
        <v>36.0</v>
      </c>
      <c r="D42" s="33" t="s">
        <v>46</v>
      </c>
      <c r="E42" s="43" t="str">
        <f t="shared" si="1"/>
        <v>54</v>
      </c>
      <c r="F42" s="49">
        <f t="shared" si="2"/>
        <v>60</v>
      </c>
      <c r="G42" s="49">
        <f t="shared" si="3"/>
        <v>60</v>
      </c>
      <c r="H42" s="49">
        <f t="shared" si="4"/>
        <v>60</v>
      </c>
      <c r="I42" s="49">
        <f t="shared" ref="I42:J42" si="42">(H42)/100*100</f>
        <v>60</v>
      </c>
      <c r="J42" s="49">
        <f t="shared" si="42"/>
        <v>60</v>
      </c>
      <c r="K42" s="52">
        <f t="shared" si="6"/>
        <v>120</v>
      </c>
    </row>
    <row r="43" ht="38.25" customHeight="1">
      <c r="A43" s="29">
        <v>39.0</v>
      </c>
      <c r="B43" s="30" t="s">
        <v>94</v>
      </c>
      <c r="C43" s="32">
        <v>35.0</v>
      </c>
      <c r="D43" s="33" t="s">
        <v>59</v>
      </c>
      <c r="E43" s="43" t="str">
        <f t="shared" si="1"/>
        <v>59</v>
      </c>
      <c r="F43" s="49">
        <f t="shared" si="2"/>
        <v>62.66666667</v>
      </c>
      <c r="G43" s="49">
        <f t="shared" si="3"/>
        <v>62.66666667</v>
      </c>
      <c r="H43" s="49">
        <f t="shared" si="4"/>
        <v>62.66666667</v>
      </c>
      <c r="I43" s="49">
        <f t="shared" ref="I43:J43" si="43">(H43)/100*100</f>
        <v>62.66666667</v>
      </c>
      <c r="J43" s="49">
        <f t="shared" si="43"/>
        <v>62.66666667</v>
      </c>
      <c r="K43" s="52">
        <f t="shared" si="6"/>
        <v>116.6666667</v>
      </c>
    </row>
    <row r="44" ht="38.25" customHeight="1">
      <c r="A44" s="29">
        <v>40.0</v>
      </c>
      <c r="B44" s="30" t="s">
        <v>95</v>
      </c>
      <c r="C44" s="32">
        <v>33.0</v>
      </c>
      <c r="D44" s="33" t="s">
        <v>46</v>
      </c>
      <c r="E44" s="43" t="str">
        <f t="shared" si="1"/>
        <v>54</v>
      </c>
      <c r="F44" s="49">
        <f t="shared" si="2"/>
        <v>58</v>
      </c>
      <c r="G44" s="49">
        <f t="shared" si="3"/>
        <v>58</v>
      </c>
      <c r="H44" s="49">
        <f t="shared" si="4"/>
        <v>58</v>
      </c>
      <c r="I44" s="49">
        <f t="shared" ref="I44:J44" si="44">(H44)/100*100</f>
        <v>58</v>
      </c>
      <c r="J44" s="49">
        <f t="shared" si="44"/>
        <v>58</v>
      </c>
      <c r="K44" s="52">
        <f t="shared" si="6"/>
        <v>110</v>
      </c>
    </row>
    <row r="45" ht="38.25" customHeight="1">
      <c r="A45" s="29">
        <v>41.0</v>
      </c>
      <c r="B45" s="30" t="s">
        <v>96</v>
      </c>
      <c r="C45" s="32">
        <v>37.0</v>
      </c>
      <c r="D45" s="33" t="s">
        <v>26</v>
      </c>
      <c r="E45" s="43" t="str">
        <f t="shared" si="1"/>
        <v>69</v>
      </c>
      <c r="F45" s="49">
        <f t="shared" si="2"/>
        <v>70.66666667</v>
      </c>
      <c r="G45" s="49">
        <f t="shared" si="3"/>
        <v>70.66666667</v>
      </c>
      <c r="H45" s="49">
        <f t="shared" si="4"/>
        <v>70.66666667</v>
      </c>
      <c r="I45" s="49">
        <f t="shared" ref="I45:J45" si="45">(H45)/100*100</f>
        <v>70.66666667</v>
      </c>
      <c r="J45" s="49">
        <f t="shared" si="45"/>
        <v>70.66666667</v>
      </c>
      <c r="K45" s="52">
        <f t="shared" si="6"/>
        <v>123.3333333</v>
      </c>
    </row>
    <row r="46" ht="38.25" customHeight="1">
      <c r="A46" s="29">
        <v>42.0</v>
      </c>
      <c r="B46" s="30" t="s">
        <v>97</v>
      </c>
      <c r="C46" s="32">
        <v>37.0</v>
      </c>
      <c r="D46" s="33" t="s">
        <v>46</v>
      </c>
      <c r="E46" s="43" t="str">
        <f t="shared" si="1"/>
        <v>54</v>
      </c>
      <c r="F46" s="49">
        <f t="shared" si="2"/>
        <v>60.66666667</v>
      </c>
      <c r="G46" s="49">
        <f t="shared" si="3"/>
        <v>60.66666667</v>
      </c>
      <c r="H46" s="49">
        <f t="shared" si="4"/>
        <v>60.66666667</v>
      </c>
      <c r="I46" s="49">
        <f t="shared" ref="I46:J46" si="46">(H46)/100*100</f>
        <v>60.66666667</v>
      </c>
      <c r="J46" s="49">
        <f t="shared" si="46"/>
        <v>60.66666667</v>
      </c>
      <c r="K46" s="52">
        <f t="shared" si="6"/>
        <v>123.3333333</v>
      </c>
    </row>
    <row r="47" ht="38.25" customHeight="1">
      <c r="A47" s="29">
        <v>43.0</v>
      </c>
      <c r="B47" s="30" t="s">
        <v>98</v>
      </c>
      <c r="C47" s="32">
        <v>43.0</v>
      </c>
      <c r="D47" s="33" t="s">
        <v>55</v>
      </c>
      <c r="E47" s="43" t="str">
        <f t="shared" si="1"/>
        <v>79</v>
      </c>
      <c r="F47" s="49">
        <f t="shared" si="2"/>
        <v>81.33333333</v>
      </c>
      <c r="G47" s="49">
        <f t="shared" si="3"/>
        <v>81.33333333</v>
      </c>
      <c r="H47" s="49">
        <f t="shared" si="4"/>
        <v>81.33333333</v>
      </c>
      <c r="I47" s="49">
        <f t="shared" ref="I47:J47" si="47">(H47)/100*100</f>
        <v>81.33333333</v>
      </c>
      <c r="J47" s="49">
        <f t="shared" si="47"/>
        <v>81.33333333</v>
      </c>
      <c r="K47" s="52">
        <f t="shared" si="6"/>
        <v>143.3333333</v>
      </c>
    </row>
    <row r="48" ht="38.25" customHeight="1">
      <c r="A48" s="29">
        <v>44.0</v>
      </c>
      <c r="B48" s="30" t="s">
        <v>99</v>
      </c>
      <c r="C48" s="32">
        <v>37.0</v>
      </c>
      <c r="D48" s="33" t="s">
        <v>46</v>
      </c>
      <c r="E48" s="43" t="str">
        <f t="shared" si="1"/>
        <v>54</v>
      </c>
      <c r="F48" s="49">
        <f t="shared" si="2"/>
        <v>60.66666667</v>
      </c>
      <c r="G48" s="49">
        <f t="shared" si="3"/>
        <v>60.66666667</v>
      </c>
      <c r="H48" s="49">
        <f t="shared" si="4"/>
        <v>60.66666667</v>
      </c>
      <c r="I48" s="49">
        <f t="shared" ref="I48:J48" si="48">(H48)/100*100</f>
        <v>60.66666667</v>
      </c>
      <c r="J48" s="49">
        <f t="shared" si="48"/>
        <v>60.66666667</v>
      </c>
      <c r="K48" s="52">
        <f t="shared" si="6"/>
        <v>123.3333333</v>
      </c>
    </row>
    <row r="49" ht="38.25" customHeight="1">
      <c r="A49" s="29">
        <v>45.0</v>
      </c>
      <c r="B49" s="30" t="s">
        <v>100</v>
      </c>
      <c r="C49" s="32">
        <v>34.0</v>
      </c>
      <c r="D49" s="33" t="s">
        <v>59</v>
      </c>
      <c r="E49" s="43" t="str">
        <f t="shared" si="1"/>
        <v>59</v>
      </c>
      <c r="F49" s="49">
        <f t="shared" si="2"/>
        <v>62</v>
      </c>
      <c r="G49" s="49">
        <f t="shared" si="3"/>
        <v>62</v>
      </c>
      <c r="H49" s="49">
        <f t="shared" si="4"/>
        <v>62</v>
      </c>
      <c r="I49" s="49">
        <f t="shared" ref="I49:J49" si="49">(H49)/100*100</f>
        <v>62</v>
      </c>
      <c r="J49" s="49">
        <f t="shared" si="49"/>
        <v>62</v>
      </c>
      <c r="K49" s="52">
        <f t="shared" si="6"/>
        <v>113.3333333</v>
      </c>
    </row>
    <row r="50" ht="38.25" customHeight="1">
      <c r="A50" s="29">
        <v>46.0</v>
      </c>
      <c r="B50" s="30" t="s">
        <v>101</v>
      </c>
      <c r="C50" s="32">
        <v>37.0</v>
      </c>
      <c r="D50" s="33" t="s">
        <v>63</v>
      </c>
      <c r="E50" s="43" t="str">
        <f t="shared" si="1"/>
        <v>64</v>
      </c>
      <c r="F50" s="49">
        <f t="shared" si="2"/>
        <v>67.33333333</v>
      </c>
      <c r="G50" s="49">
        <f t="shared" si="3"/>
        <v>67.33333333</v>
      </c>
      <c r="H50" s="49">
        <f t="shared" si="4"/>
        <v>67.33333333</v>
      </c>
      <c r="I50" s="49">
        <f t="shared" ref="I50:J50" si="50">(H50)/100*100</f>
        <v>67.33333333</v>
      </c>
      <c r="J50" s="49">
        <f t="shared" si="50"/>
        <v>67.33333333</v>
      </c>
      <c r="K50" s="52">
        <f t="shared" si="6"/>
        <v>123.3333333</v>
      </c>
    </row>
    <row r="51" ht="38.25" customHeight="1">
      <c r="A51" s="29">
        <v>47.0</v>
      </c>
      <c r="B51" s="30" t="s">
        <v>102</v>
      </c>
      <c r="C51" s="32">
        <v>38.0</v>
      </c>
      <c r="D51" s="33" t="s">
        <v>26</v>
      </c>
      <c r="E51" s="43" t="str">
        <f t="shared" si="1"/>
        <v>69</v>
      </c>
      <c r="F51" s="49">
        <f t="shared" si="2"/>
        <v>71.33333333</v>
      </c>
      <c r="G51" s="49">
        <f t="shared" si="3"/>
        <v>71.33333333</v>
      </c>
      <c r="H51" s="49">
        <f t="shared" si="4"/>
        <v>71.33333333</v>
      </c>
      <c r="I51" s="49">
        <f t="shared" ref="I51:J51" si="51">(H51)/100*100</f>
        <v>71.33333333</v>
      </c>
      <c r="J51" s="49">
        <f t="shared" si="51"/>
        <v>71.33333333</v>
      </c>
      <c r="K51" s="52">
        <f t="shared" si="6"/>
        <v>126.6666667</v>
      </c>
    </row>
    <row r="52" ht="38.25" customHeight="1">
      <c r="A52" s="29">
        <v>48.0</v>
      </c>
      <c r="B52" s="30" t="s">
        <v>103</v>
      </c>
      <c r="C52" s="32">
        <v>32.0</v>
      </c>
      <c r="D52" s="33" t="s">
        <v>26</v>
      </c>
      <c r="E52" s="43" t="str">
        <f t="shared" si="1"/>
        <v>69</v>
      </c>
      <c r="F52" s="49">
        <f t="shared" si="2"/>
        <v>67.33333333</v>
      </c>
      <c r="G52" s="49">
        <f t="shared" si="3"/>
        <v>67.33333333</v>
      </c>
      <c r="H52" s="49">
        <f t="shared" si="4"/>
        <v>67.33333333</v>
      </c>
      <c r="I52" s="49">
        <f t="shared" ref="I52:J52" si="52">(H52)/100*100</f>
        <v>67.33333333</v>
      </c>
      <c r="J52" s="49">
        <f t="shared" si="52"/>
        <v>67.33333333</v>
      </c>
      <c r="K52" s="52">
        <f t="shared" si="6"/>
        <v>106.6666667</v>
      </c>
    </row>
    <row r="53" ht="38.25" customHeight="1">
      <c r="A53" s="29">
        <v>49.0</v>
      </c>
      <c r="B53" s="30" t="s">
        <v>104</v>
      </c>
      <c r="C53" s="32">
        <v>40.0</v>
      </c>
      <c r="D53" s="33" t="s">
        <v>55</v>
      </c>
      <c r="E53" s="43" t="str">
        <f t="shared" si="1"/>
        <v>79</v>
      </c>
      <c r="F53" s="49">
        <f t="shared" si="2"/>
        <v>79.33333333</v>
      </c>
      <c r="G53" s="49">
        <f t="shared" si="3"/>
        <v>79.33333333</v>
      </c>
      <c r="H53" s="49">
        <f t="shared" si="4"/>
        <v>79.33333333</v>
      </c>
      <c r="I53" s="49">
        <f t="shared" ref="I53:J53" si="53">(H53)/100*100</f>
        <v>79.33333333</v>
      </c>
      <c r="J53" s="49">
        <f t="shared" si="53"/>
        <v>79.33333333</v>
      </c>
      <c r="K53" s="52">
        <f t="shared" si="6"/>
        <v>133.3333333</v>
      </c>
    </row>
    <row r="54" ht="38.25" customHeight="1">
      <c r="A54" s="29">
        <v>50.0</v>
      </c>
      <c r="B54" s="30" t="s">
        <v>105</v>
      </c>
      <c r="C54" s="32">
        <v>40.0</v>
      </c>
      <c r="D54" s="33" t="s">
        <v>46</v>
      </c>
      <c r="E54" s="43" t="str">
        <f t="shared" si="1"/>
        <v>54</v>
      </c>
      <c r="F54" s="49">
        <f t="shared" si="2"/>
        <v>62.66666667</v>
      </c>
      <c r="G54" s="49">
        <f t="shared" si="3"/>
        <v>62.66666667</v>
      </c>
      <c r="H54" s="49">
        <f t="shared" si="4"/>
        <v>62.66666667</v>
      </c>
      <c r="I54" s="49">
        <f t="shared" ref="I54:J54" si="54">(H54)/100*100</f>
        <v>62.66666667</v>
      </c>
      <c r="J54" s="49">
        <f t="shared" si="54"/>
        <v>62.66666667</v>
      </c>
      <c r="K54" s="52">
        <f t="shared" si="6"/>
        <v>133.3333333</v>
      </c>
    </row>
    <row r="55" ht="38.25" customHeight="1">
      <c r="A55" s="29">
        <v>51.0</v>
      </c>
      <c r="B55" s="30" t="s">
        <v>106</v>
      </c>
      <c r="C55" s="32">
        <v>35.0</v>
      </c>
      <c r="D55" s="33" t="s">
        <v>63</v>
      </c>
      <c r="E55" s="43" t="str">
        <f t="shared" si="1"/>
        <v>64</v>
      </c>
      <c r="F55" s="49">
        <f t="shared" si="2"/>
        <v>66</v>
      </c>
      <c r="G55" s="49">
        <f t="shared" si="3"/>
        <v>66</v>
      </c>
      <c r="H55" s="49">
        <f t="shared" si="4"/>
        <v>66</v>
      </c>
      <c r="I55" s="49">
        <f t="shared" ref="I55:J55" si="55">(H55)/100*100</f>
        <v>66</v>
      </c>
      <c r="J55" s="49">
        <f t="shared" si="55"/>
        <v>66</v>
      </c>
      <c r="K55" s="52">
        <f t="shared" si="6"/>
        <v>116.6666667</v>
      </c>
    </row>
    <row r="56" ht="38.25" customHeight="1">
      <c r="A56" s="29">
        <v>52.0</v>
      </c>
      <c r="B56" s="30" t="s">
        <v>107</v>
      </c>
      <c r="C56" s="32">
        <v>35.0</v>
      </c>
      <c r="D56" s="33" t="s">
        <v>46</v>
      </c>
      <c r="E56" s="43" t="str">
        <f t="shared" si="1"/>
        <v>54</v>
      </c>
      <c r="F56" s="49">
        <f t="shared" si="2"/>
        <v>59.33333333</v>
      </c>
      <c r="G56" s="49">
        <f t="shared" si="3"/>
        <v>59.33333333</v>
      </c>
      <c r="H56" s="49">
        <f t="shared" si="4"/>
        <v>59.33333333</v>
      </c>
      <c r="I56" s="49">
        <f t="shared" ref="I56:J56" si="56">(H56)/100*100</f>
        <v>59.33333333</v>
      </c>
      <c r="J56" s="49">
        <f t="shared" si="56"/>
        <v>59.33333333</v>
      </c>
      <c r="K56" s="52">
        <f t="shared" si="6"/>
        <v>116.6666667</v>
      </c>
    </row>
    <row r="57" ht="38.25" customHeight="1">
      <c r="A57" s="29">
        <v>53.0</v>
      </c>
      <c r="B57" s="30" t="s">
        <v>108</v>
      </c>
      <c r="C57" s="32">
        <v>41.0</v>
      </c>
      <c r="D57" s="33" t="s">
        <v>50</v>
      </c>
      <c r="E57" s="43" t="str">
        <f t="shared" si="1"/>
        <v>74</v>
      </c>
      <c r="F57" s="49">
        <f t="shared" si="2"/>
        <v>76.66666667</v>
      </c>
      <c r="G57" s="49">
        <f t="shared" si="3"/>
        <v>76.66666667</v>
      </c>
      <c r="H57" s="49">
        <f t="shared" si="4"/>
        <v>76.66666667</v>
      </c>
      <c r="I57" s="49">
        <f t="shared" ref="I57:J57" si="57">(H57)/100*100</f>
        <v>76.66666667</v>
      </c>
      <c r="J57" s="49">
        <f t="shared" si="57"/>
        <v>76.66666667</v>
      </c>
      <c r="K57" s="52">
        <f t="shared" si="6"/>
        <v>136.6666667</v>
      </c>
    </row>
    <row r="58" ht="38.25" customHeight="1">
      <c r="A58" s="29">
        <v>54.0</v>
      </c>
      <c r="B58" s="30" t="s">
        <v>109</v>
      </c>
      <c r="C58" s="32">
        <v>32.0</v>
      </c>
      <c r="D58" s="33" t="s">
        <v>59</v>
      </c>
      <c r="E58" s="43" t="str">
        <f t="shared" si="1"/>
        <v>59</v>
      </c>
      <c r="F58" s="49">
        <f t="shared" si="2"/>
        <v>60.66666667</v>
      </c>
      <c r="G58" s="49">
        <f t="shared" si="3"/>
        <v>60.66666667</v>
      </c>
      <c r="H58" s="49">
        <f t="shared" si="4"/>
        <v>60.66666667</v>
      </c>
      <c r="I58" s="49">
        <f t="shared" ref="I58:J58" si="58">(H58)/100*100</f>
        <v>60.66666667</v>
      </c>
      <c r="J58" s="49">
        <f t="shared" si="58"/>
        <v>60.66666667</v>
      </c>
      <c r="K58" s="52">
        <f t="shared" si="6"/>
        <v>106.6666667</v>
      </c>
    </row>
    <row r="59" ht="38.25" customHeight="1">
      <c r="A59" s="29">
        <v>55.0</v>
      </c>
      <c r="B59" s="30" t="s">
        <v>110</v>
      </c>
      <c r="C59" s="32">
        <v>39.0</v>
      </c>
      <c r="D59" s="33" t="s">
        <v>46</v>
      </c>
      <c r="E59" s="43" t="str">
        <f t="shared" si="1"/>
        <v>54</v>
      </c>
      <c r="F59" s="49">
        <f t="shared" si="2"/>
        <v>62</v>
      </c>
      <c r="G59" s="49">
        <f t="shared" si="3"/>
        <v>62</v>
      </c>
      <c r="H59" s="49">
        <f t="shared" si="4"/>
        <v>62</v>
      </c>
      <c r="I59" s="49">
        <f t="shared" ref="I59:J59" si="59">(H59)/100*100</f>
        <v>62</v>
      </c>
      <c r="J59" s="49">
        <f t="shared" si="59"/>
        <v>62</v>
      </c>
      <c r="K59" s="52">
        <f t="shared" si="6"/>
        <v>130</v>
      </c>
    </row>
    <row r="60" ht="38.25" customHeight="1">
      <c r="A60" s="29">
        <v>56.0</v>
      </c>
      <c r="B60" s="30" t="s">
        <v>111</v>
      </c>
      <c r="C60" s="32">
        <v>30.0</v>
      </c>
      <c r="D60" s="33" t="s">
        <v>57</v>
      </c>
      <c r="E60" s="43" t="str">
        <f t="shared" si="1"/>
        <v>0</v>
      </c>
      <c r="F60" s="49">
        <f t="shared" si="2"/>
        <v>20</v>
      </c>
      <c r="G60" s="49">
        <f t="shared" si="3"/>
        <v>20</v>
      </c>
      <c r="H60" s="49">
        <f t="shared" si="4"/>
        <v>20</v>
      </c>
      <c r="I60" s="49">
        <f t="shared" ref="I60:J60" si="60">(H60)/100*100</f>
        <v>20</v>
      </c>
      <c r="J60" s="49">
        <f t="shared" si="60"/>
        <v>20</v>
      </c>
      <c r="K60" s="52">
        <f t="shared" si="6"/>
        <v>100</v>
      </c>
    </row>
    <row r="61" ht="38.25" customHeight="1">
      <c r="A61" s="29">
        <v>57.0</v>
      </c>
      <c r="B61" s="30" t="s">
        <v>112</v>
      </c>
      <c r="C61" s="32">
        <v>39.0</v>
      </c>
      <c r="D61" s="33" t="s">
        <v>50</v>
      </c>
      <c r="E61" s="43" t="str">
        <f t="shared" si="1"/>
        <v>74</v>
      </c>
      <c r="F61" s="49">
        <f t="shared" si="2"/>
        <v>75.33333333</v>
      </c>
      <c r="G61" s="49">
        <f t="shared" si="3"/>
        <v>75.33333333</v>
      </c>
      <c r="H61" s="49">
        <f t="shared" si="4"/>
        <v>75.33333333</v>
      </c>
      <c r="I61" s="49">
        <f t="shared" ref="I61:J61" si="61">(H61)/100*100</f>
        <v>75.33333333</v>
      </c>
      <c r="J61" s="49">
        <f t="shared" si="61"/>
        <v>75.33333333</v>
      </c>
      <c r="K61" s="52">
        <f t="shared" si="6"/>
        <v>130</v>
      </c>
    </row>
    <row r="62" ht="38.25" customHeight="1">
      <c r="A62" s="29">
        <v>58.0</v>
      </c>
      <c r="B62" s="30" t="s">
        <v>113</v>
      </c>
      <c r="C62" s="32">
        <v>34.0</v>
      </c>
      <c r="D62" s="33" t="s">
        <v>46</v>
      </c>
      <c r="E62" s="43" t="str">
        <f t="shared" si="1"/>
        <v>54</v>
      </c>
      <c r="F62" s="49">
        <f t="shared" si="2"/>
        <v>58.66666667</v>
      </c>
      <c r="G62" s="49">
        <f t="shared" si="3"/>
        <v>58.66666667</v>
      </c>
      <c r="H62" s="49">
        <f t="shared" si="4"/>
        <v>58.66666667</v>
      </c>
      <c r="I62" s="49">
        <f t="shared" ref="I62:J62" si="62">(H62)/100*100</f>
        <v>58.66666667</v>
      </c>
      <c r="J62" s="49">
        <f t="shared" si="62"/>
        <v>58.66666667</v>
      </c>
      <c r="K62" s="52">
        <f t="shared" si="6"/>
        <v>113.3333333</v>
      </c>
    </row>
    <row r="63" ht="38.25" customHeight="1">
      <c r="A63" s="29"/>
      <c r="B63" s="6" t="s">
        <v>114</v>
      </c>
      <c r="C63" s="63"/>
      <c r="D63" s="63"/>
      <c r="E63" s="63"/>
      <c r="F63" s="64">
        <f t="shared" ref="F63:K63" si="63">COUNTIFS(F5:F62,"&gt;=55",F5:F62,"&lt;=100")</f>
        <v>52</v>
      </c>
      <c r="G63" s="64">
        <f t="shared" si="63"/>
        <v>52</v>
      </c>
      <c r="H63" s="64">
        <f t="shared" si="63"/>
        <v>52</v>
      </c>
      <c r="I63" s="64">
        <f t="shared" si="63"/>
        <v>52</v>
      </c>
      <c r="J63" s="64">
        <f t="shared" si="63"/>
        <v>52</v>
      </c>
      <c r="K63" s="64">
        <f t="shared" si="63"/>
        <v>5</v>
      </c>
    </row>
    <row r="64" ht="38.25" customHeight="1">
      <c r="A64" s="29"/>
      <c r="B64" s="6" t="s">
        <v>115</v>
      </c>
      <c r="C64" s="63"/>
      <c r="D64" s="63"/>
      <c r="E64" s="63"/>
      <c r="F64" s="64">
        <f>ROUND(F63/A62*100,0)</f>
        <v>90</v>
      </c>
      <c r="G64" s="64">
        <f>ROUND(G63/A62*100,0)</f>
        <v>90</v>
      </c>
      <c r="H64" s="64">
        <f>ROUND(H63/A62*100,0)</f>
        <v>90</v>
      </c>
      <c r="I64" s="64">
        <f>ROUND(I63/A62*100,0)</f>
        <v>90</v>
      </c>
      <c r="J64" s="64">
        <f>ROUND(J63/A62*100,0)</f>
        <v>90</v>
      </c>
      <c r="K64" s="64">
        <f>ROUND(K63/14*100,0)</f>
        <v>36</v>
      </c>
    </row>
    <row r="65" ht="38.25" customHeight="1">
      <c r="A65" s="65"/>
      <c r="B65" s="1"/>
      <c r="C65" s="66"/>
      <c r="D65" s="66"/>
      <c r="E65" s="66"/>
      <c r="F65" s="11" t="s">
        <v>12</v>
      </c>
      <c r="G65" s="13"/>
      <c r="H65" s="67"/>
      <c r="I65" s="68" t="s">
        <v>116</v>
      </c>
      <c r="J65" s="69"/>
      <c r="K65" s="17" t="s">
        <v>12</v>
      </c>
    </row>
    <row r="66" ht="38.25" customHeight="1">
      <c r="A66" s="65"/>
      <c r="B66" s="1"/>
      <c r="C66" s="66"/>
      <c r="D66" s="66"/>
      <c r="E66" s="66"/>
      <c r="F66" s="20"/>
      <c r="G66" s="21"/>
      <c r="H66" s="70"/>
      <c r="I66" s="69"/>
      <c r="J66" s="69"/>
      <c r="K66" s="23"/>
    </row>
    <row r="67" ht="38.25" customHeight="1">
      <c r="A67" s="65"/>
      <c r="B67" s="1"/>
      <c r="C67" s="3"/>
      <c r="D67" s="3"/>
      <c r="E67" s="3"/>
      <c r="F67" s="27" t="s">
        <v>20</v>
      </c>
      <c r="G67" s="27" t="s">
        <v>21</v>
      </c>
      <c r="H67" s="27" t="s">
        <v>22</v>
      </c>
      <c r="I67" s="27" t="s">
        <v>117</v>
      </c>
      <c r="J67" s="27" t="s">
        <v>24</v>
      </c>
      <c r="K67" s="71" t="s">
        <v>118</v>
      </c>
    </row>
    <row r="68" ht="38.25" customHeight="1">
      <c r="A68" s="65"/>
      <c r="B68" s="1"/>
      <c r="C68" s="72"/>
      <c r="D68" s="72"/>
      <c r="E68" s="72"/>
      <c r="F68" s="73">
        <f t="shared" ref="F68:J68" si="64">IF(F64&gt;75,3,IF(F64&gt;65,2,IF(F64&gt;55,1)))</f>
        <v>3</v>
      </c>
      <c r="G68" s="73">
        <f t="shared" si="64"/>
        <v>3</v>
      </c>
      <c r="H68" s="73">
        <f t="shared" si="64"/>
        <v>3</v>
      </c>
      <c r="I68" s="73">
        <f t="shared" si="64"/>
        <v>3</v>
      </c>
      <c r="J68" s="73">
        <f t="shared" si="64"/>
        <v>3</v>
      </c>
      <c r="K68" s="73" t="b">
        <f>IF(K64&gt;70,3,IF(K64&gt;60,2,IF(K64&gt;50,1)))</f>
        <v>0</v>
      </c>
    </row>
    <row r="69" ht="38.25" customHeight="1">
      <c r="A69" s="65"/>
      <c r="B69" s="1"/>
      <c r="D69" s="74"/>
      <c r="E69" s="74"/>
    </row>
    <row r="70" ht="38.25" customHeight="1">
      <c r="A70" s="65"/>
      <c r="B70" s="1"/>
      <c r="C70" s="72"/>
      <c r="D70" s="72"/>
      <c r="E70" s="72"/>
      <c r="F70" s="72"/>
      <c r="G70" s="72"/>
      <c r="H70" s="72"/>
      <c r="I70" s="72"/>
      <c r="J70" s="72"/>
    </row>
    <row r="71" ht="38.25" customHeight="1">
      <c r="A71" s="65"/>
      <c r="B71" s="1"/>
      <c r="C71" s="72"/>
      <c r="D71" s="72"/>
      <c r="E71" s="72"/>
      <c r="F71" s="72"/>
      <c r="G71" s="72"/>
      <c r="H71" s="72"/>
      <c r="I71" s="72"/>
      <c r="J71" s="72"/>
    </row>
    <row r="72" ht="38.25" customHeight="1">
      <c r="A72" s="65"/>
      <c r="B72" s="7" t="s">
        <v>0</v>
      </c>
      <c r="C72" s="9" t="s">
        <v>3</v>
      </c>
      <c r="D72" s="9" t="s">
        <v>5</v>
      </c>
      <c r="E72" s="9" t="s">
        <v>6</v>
      </c>
      <c r="F72" s="9" t="s">
        <v>7</v>
      </c>
      <c r="G72" s="9" t="s">
        <v>8</v>
      </c>
      <c r="H72" s="9" t="s">
        <v>9</v>
      </c>
      <c r="I72" s="9" t="s">
        <v>10</v>
      </c>
      <c r="J72" s="9" t="s">
        <v>11</v>
      </c>
    </row>
    <row r="73" ht="38.25" customHeight="1">
      <c r="A73" s="65"/>
      <c r="B73" s="12" t="s">
        <v>13</v>
      </c>
      <c r="C73" s="75">
        <f t="shared" ref="C73:G73" si="65">F68</f>
        <v>3</v>
      </c>
      <c r="D73" s="75">
        <f t="shared" si="65"/>
        <v>3</v>
      </c>
      <c r="E73" s="75">
        <f t="shared" si="65"/>
        <v>3</v>
      </c>
      <c r="F73" s="75">
        <f t="shared" si="65"/>
        <v>3</v>
      </c>
      <c r="G73" s="75">
        <f t="shared" si="65"/>
        <v>3</v>
      </c>
      <c r="H73" s="75"/>
      <c r="I73" s="75"/>
      <c r="J73" s="75"/>
    </row>
    <row r="74" ht="38.25" customHeight="1">
      <c r="A74" s="65"/>
      <c r="B74" s="12" t="s">
        <v>16</v>
      </c>
      <c r="C74" s="75">
        <v>2.5</v>
      </c>
      <c r="D74" s="75">
        <v>2.7</v>
      </c>
      <c r="E74" s="14">
        <v>3.0</v>
      </c>
      <c r="F74" s="76">
        <v>2.84</v>
      </c>
      <c r="G74" s="76">
        <v>2.8</v>
      </c>
      <c r="H74" s="19"/>
      <c r="I74" s="19"/>
      <c r="J74" s="19"/>
    </row>
    <row r="75" ht="38.25" customHeight="1">
      <c r="A75" s="65"/>
      <c r="B75" s="24" t="s">
        <v>18</v>
      </c>
      <c r="C75" s="28">
        <f t="shared" ref="C75:G75" si="66">(C73+C74)/2</f>
        <v>2.75</v>
      </c>
      <c r="D75" s="28">
        <f t="shared" si="66"/>
        <v>2.85</v>
      </c>
      <c r="E75" s="28">
        <f t="shared" si="66"/>
        <v>3</v>
      </c>
      <c r="F75" s="28">
        <f t="shared" si="66"/>
        <v>2.92</v>
      </c>
      <c r="G75" s="28">
        <f t="shared" si="66"/>
        <v>2.9</v>
      </c>
      <c r="H75" s="28"/>
      <c r="I75" s="28"/>
      <c r="J75" s="28"/>
    </row>
    <row r="76" ht="38.25" customHeight="1">
      <c r="D76" s="74"/>
      <c r="E76" s="74"/>
    </row>
    <row r="77" ht="38.25" customHeight="1">
      <c r="B77" s="34" t="s">
        <v>27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6"/>
    </row>
    <row r="78" ht="38.25" customHeight="1">
      <c r="B78" s="37" t="s">
        <v>28</v>
      </c>
      <c r="C78" s="38" t="s">
        <v>29</v>
      </c>
      <c r="D78" s="77" t="s">
        <v>30</v>
      </c>
      <c r="E78" s="78" t="s">
        <v>31</v>
      </c>
      <c r="F78" s="40" t="s">
        <v>32</v>
      </c>
      <c r="G78" s="40" t="s">
        <v>33</v>
      </c>
      <c r="H78" s="40" t="s">
        <v>34</v>
      </c>
      <c r="I78" s="40" t="s">
        <v>35</v>
      </c>
      <c r="J78" s="40" t="s">
        <v>36</v>
      </c>
      <c r="K78" s="40" t="s">
        <v>37</v>
      </c>
      <c r="L78" s="40" t="s">
        <v>38</v>
      </c>
      <c r="M78" s="40" t="s">
        <v>39</v>
      </c>
      <c r="N78" s="40" t="s">
        <v>40</v>
      </c>
      <c r="O78" s="40" t="s">
        <v>41</v>
      </c>
      <c r="P78" s="41" t="s">
        <v>42</v>
      </c>
      <c r="Q78" s="41" t="s">
        <v>43</v>
      </c>
      <c r="R78" s="41" t="s">
        <v>44</v>
      </c>
    </row>
    <row r="79" ht="38.25" customHeight="1">
      <c r="B79" s="42" t="s">
        <v>3</v>
      </c>
      <c r="C79" s="44">
        <v>3.0</v>
      </c>
      <c r="D79" s="79">
        <v>0.0</v>
      </c>
      <c r="E79" s="80">
        <v>0.0</v>
      </c>
      <c r="F79" s="47">
        <v>0.0</v>
      </c>
      <c r="G79" s="51">
        <v>3.0</v>
      </c>
      <c r="H79" s="51">
        <v>2.0</v>
      </c>
      <c r="I79" s="48">
        <v>1.0</v>
      </c>
      <c r="J79" s="48">
        <v>0.0</v>
      </c>
      <c r="K79" s="48">
        <v>0.0</v>
      </c>
      <c r="L79" s="45">
        <v>1.0</v>
      </c>
      <c r="M79" s="48">
        <v>2.0</v>
      </c>
      <c r="N79" s="48">
        <v>0.0</v>
      </c>
      <c r="O79" s="45">
        <v>2.0</v>
      </c>
      <c r="P79" s="45">
        <v>3.0</v>
      </c>
      <c r="Q79" s="81">
        <v>3.0</v>
      </c>
      <c r="R79" s="51">
        <v>3.0</v>
      </c>
    </row>
    <row r="80" ht="38.25" customHeight="1">
      <c r="B80" s="50" t="s">
        <v>5</v>
      </c>
      <c r="C80" s="44">
        <v>3.0</v>
      </c>
      <c r="D80" s="82">
        <v>0.0</v>
      </c>
      <c r="E80" s="80">
        <v>0.0</v>
      </c>
      <c r="F80" s="47">
        <v>0.0</v>
      </c>
      <c r="G80" s="51">
        <v>3.0</v>
      </c>
      <c r="H80" s="51">
        <v>2.0</v>
      </c>
      <c r="I80" s="48">
        <v>1.0</v>
      </c>
      <c r="J80" s="48">
        <v>0.0</v>
      </c>
      <c r="K80" s="48">
        <v>0.0</v>
      </c>
      <c r="L80" s="45">
        <v>1.0</v>
      </c>
      <c r="M80" s="48">
        <v>2.0</v>
      </c>
      <c r="N80" s="48">
        <v>0.0</v>
      </c>
      <c r="O80" s="45">
        <v>2.0</v>
      </c>
      <c r="P80" s="51">
        <v>3.0</v>
      </c>
      <c r="Q80" s="45">
        <v>3.0</v>
      </c>
      <c r="R80" s="51">
        <v>3.0</v>
      </c>
    </row>
    <row r="81" ht="38.25" customHeight="1">
      <c r="B81" s="42" t="s">
        <v>6</v>
      </c>
      <c r="C81" s="44">
        <v>3.0</v>
      </c>
      <c r="D81" s="82">
        <v>0.0</v>
      </c>
      <c r="E81" s="80">
        <v>0.0</v>
      </c>
      <c r="F81" s="47">
        <v>0.0</v>
      </c>
      <c r="G81" s="51">
        <v>3.0</v>
      </c>
      <c r="H81" s="51">
        <v>2.0</v>
      </c>
      <c r="I81" s="48">
        <v>1.0</v>
      </c>
      <c r="J81" s="48">
        <v>0.0</v>
      </c>
      <c r="K81" s="48">
        <v>2.0</v>
      </c>
      <c r="L81" s="45">
        <v>1.0</v>
      </c>
      <c r="M81" s="48">
        <v>2.0</v>
      </c>
      <c r="N81" s="45">
        <v>0.0</v>
      </c>
      <c r="O81" s="45">
        <v>2.0</v>
      </c>
      <c r="P81" s="51">
        <v>3.0</v>
      </c>
      <c r="Q81" s="45">
        <v>3.0</v>
      </c>
      <c r="R81" s="51">
        <v>3.0</v>
      </c>
    </row>
    <row r="82" ht="38.25" customHeight="1">
      <c r="B82" s="50" t="s">
        <v>7</v>
      </c>
      <c r="C82" s="44">
        <v>3.0</v>
      </c>
      <c r="D82" s="82">
        <v>0.0</v>
      </c>
      <c r="E82" s="80">
        <v>0.0</v>
      </c>
      <c r="F82" s="47">
        <v>0.0</v>
      </c>
      <c r="G82" s="51">
        <v>2.0</v>
      </c>
      <c r="H82" s="51">
        <v>1.0</v>
      </c>
      <c r="I82" s="48">
        <v>1.0</v>
      </c>
      <c r="J82" s="48">
        <v>0.0</v>
      </c>
      <c r="K82" s="48">
        <v>2.0</v>
      </c>
      <c r="L82" s="45">
        <v>1.0</v>
      </c>
      <c r="M82" s="48">
        <v>2.0</v>
      </c>
      <c r="N82" s="45">
        <v>0.0</v>
      </c>
      <c r="O82" s="45">
        <v>2.0</v>
      </c>
      <c r="P82" s="51">
        <v>3.0</v>
      </c>
      <c r="Q82" s="45">
        <v>2.0</v>
      </c>
      <c r="R82" s="51">
        <v>3.0</v>
      </c>
    </row>
    <row r="83" ht="38.25" customHeight="1">
      <c r="B83" s="42" t="s">
        <v>8</v>
      </c>
      <c r="C83" s="44">
        <v>3.0</v>
      </c>
      <c r="D83" s="82">
        <v>0.0</v>
      </c>
      <c r="E83" s="80">
        <v>0.0</v>
      </c>
      <c r="F83" s="47">
        <v>0.0</v>
      </c>
      <c r="G83" s="51">
        <v>3.0</v>
      </c>
      <c r="H83" s="51">
        <v>2.0</v>
      </c>
      <c r="I83" s="48">
        <v>1.0</v>
      </c>
      <c r="J83" s="48">
        <v>0.0</v>
      </c>
      <c r="K83" s="48">
        <v>0.0</v>
      </c>
      <c r="L83" s="45">
        <v>1.0</v>
      </c>
      <c r="M83" s="48">
        <v>2.0</v>
      </c>
      <c r="N83" s="48">
        <v>0.0</v>
      </c>
      <c r="O83" s="45">
        <v>2.0</v>
      </c>
      <c r="P83" s="51">
        <v>3.0</v>
      </c>
      <c r="Q83" s="45">
        <v>3.0</v>
      </c>
      <c r="R83" s="51">
        <v>3.0</v>
      </c>
    </row>
    <row r="84" ht="38.25" customHeight="1">
      <c r="B84" s="53" t="s">
        <v>47</v>
      </c>
      <c r="C84" s="16"/>
      <c r="D84" s="55" t="str">
        <f t="shared" ref="D84:R84" si="67">SUM(D79:D83)/COUNTIF(D79:D83,"&gt;0")</f>
        <v>#DIV/0!</v>
      </c>
      <c r="E84" s="55" t="str">
        <f t="shared" si="67"/>
        <v>#DIV/0!</v>
      </c>
      <c r="F84" s="55" t="str">
        <f t="shared" si="67"/>
        <v>#DIV/0!</v>
      </c>
      <c r="G84" s="55">
        <f t="shared" si="67"/>
        <v>2.8</v>
      </c>
      <c r="H84" s="54">
        <f t="shared" si="67"/>
        <v>1.8</v>
      </c>
      <c r="I84" s="54">
        <f t="shared" si="67"/>
        <v>1</v>
      </c>
      <c r="J84" s="55" t="str">
        <f t="shared" si="67"/>
        <v>#DIV/0!</v>
      </c>
      <c r="K84" s="54">
        <f t="shared" si="67"/>
        <v>2</v>
      </c>
      <c r="L84" s="54">
        <f t="shared" si="67"/>
        <v>1</v>
      </c>
      <c r="M84" s="54">
        <f t="shared" si="67"/>
        <v>2</v>
      </c>
      <c r="N84" s="54" t="str">
        <f t="shared" si="67"/>
        <v>#DIV/0!</v>
      </c>
      <c r="O84" s="54">
        <f t="shared" si="67"/>
        <v>2</v>
      </c>
      <c r="P84" s="55">
        <f t="shared" si="67"/>
        <v>3</v>
      </c>
      <c r="Q84" s="55">
        <f t="shared" si="67"/>
        <v>2.8</v>
      </c>
      <c r="R84" s="54">
        <f t="shared" si="67"/>
        <v>3</v>
      </c>
    </row>
    <row r="85" ht="38.25" customHeight="1">
      <c r="B85" s="34" t="s">
        <v>47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6"/>
    </row>
    <row r="86" ht="38.25" customHeight="1">
      <c r="B86" s="56" t="s">
        <v>28</v>
      </c>
      <c r="C86" s="38" t="s">
        <v>52</v>
      </c>
      <c r="D86" s="57" t="s">
        <v>53</v>
      </c>
      <c r="E86" s="57" t="s">
        <v>31</v>
      </c>
      <c r="F86" s="57" t="s">
        <v>32</v>
      </c>
      <c r="G86" s="57" t="s">
        <v>33</v>
      </c>
      <c r="H86" s="40" t="s">
        <v>34</v>
      </c>
      <c r="I86" s="40" t="s">
        <v>35</v>
      </c>
      <c r="J86" s="40" t="s">
        <v>36</v>
      </c>
      <c r="K86" s="40" t="s">
        <v>37</v>
      </c>
      <c r="L86" s="40" t="s">
        <v>38</v>
      </c>
      <c r="M86" s="40" t="s">
        <v>39</v>
      </c>
      <c r="N86" s="40" t="s">
        <v>40</v>
      </c>
      <c r="O86" s="40" t="s">
        <v>41</v>
      </c>
      <c r="P86" s="41" t="s">
        <v>42</v>
      </c>
      <c r="Q86" s="41" t="s">
        <v>43</v>
      </c>
      <c r="R86" s="41" t="s">
        <v>44</v>
      </c>
    </row>
    <row r="87" ht="38.25" customHeight="1">
      <c r="B87" s="42" t="s">
        <v>3</v>
      </c>
      <c r="C87" s="58">
        <f>C75</f>
        <v>2.75</v>
      </c>
      <c r="D87" s="55">
        <f t="shared" ref="D87:R87" si="68">$C$87*D79/3</f>
        <v>0</v>
      </c>
      <c r="E87" s="55">
        <f t="shared" si="68"/>
        <v>0</v>
      </c>
      <c r="F87" s="55">
        <f t="shared" si="68"/>
        <v>0</v>
      </c>
      <c r="G87" s="55">
        <f t="shared" si="68"/>
        <v>2.75</v>
      </c>
      <c r="H87" s="55">
        <f t="shared" si="68"/>
        <v>1.833333333</v>
      </c>
      <c r="I87" s="55">
        <f t="shared" si="68"/>
        <v>0.9166666667</v>
      </c>
      <c r="J87" s="55">
        <f t="shared" si="68"/>
        <v>0</v>
      </c>
      <c r="K87" s="55">
        <f t="shared" si="68"/>
        <v>0</v>
      </c>
      <c r="L87" s="55">
        <f t="shared" si="68"/>
        <v>0.9166666667</v>
      </c>
      <c r="M87" s="55">
        <f t="shared" si="68"/>
        <v>1.833333333</v>
      </c>
      <c r="N87" s="55">
        <f t="shared" si="68"/>
        <v>0</v>
      </c>
      <c r="O87" s="55">
        <f t="shared" si="68"/>
        <v>1.833333333</v>
      </c>
      <c r="P87" s="55">
        <f t="shared" si="68"/>
        <v>2.75</v>
      </c>
      <c r="Q87" s="55">
        <f t="shared" si="68"/>
        <v>2.75</v>
      </c>
      <c r="R87" s="55">
        <f t="shared" si="68"/>
        <v>2.75</v>
      </c>
    </row>
    <row r="88" ht="38.25" customHeight="1">
      <c r="B88" s="50" t="s">
        <v>5</v>
      </c>
      <c r="C88" s="44">
        <f>D75</f>
        <v>2.85</v>
      </c>
      <c r="D88" s="55">
        <f t="shared" ref="D88:R88" si="69">$C$88*D80/3</f>
        <v>0</v>
      </c>
      <c r="E88" s="55">
        <f t="shared" si="69"/>
        <v>0</v>
      </c>
      <c r="F88" s="55">
        <f t="shared" si="69"/>
        <v>0</v>
      </c>
      <c r="G88" s="55">
        <f t="shared" si="69"/>
        <v>2.85</v>
      </c>
      <c r="H88" s="55">
        <f t="shared" si="69"/>
        <v>1.9</v>
      </c>
      <c r="I88" s="55">
        <f t="shared" si="69"/>
        <v>0.95</v>
      </c>
      <c r="J88" s="55">
        <f t="shared" si="69"/>
        <v>0</v>
      </c>
      <c r="K88" s="55">
        <f t="shared" si="69"/>
        <v>0</v>
      </c>
      <c r="L88" s="55">
        <f t="shared" si="69"/>
        <v>0.95</v>
      </c>
      <c r="M88" s="55">
        <f t="shared" si="69"/>
        <v>1.9</v>
      </c>
      <c r="N88" s="55">
        <f t="shared" si="69"/>
        <v>0</v>
      </c>
      <c r="O88" s="55">
        <f t="shared" si="69"/>
        <v>1.9</v>
      </c>
      <c r="P88" s="55">
        <f t="shared" si="69"/>
        <v>2.85</v>
      </c>
      <c r="Q88" s="55">
        <f t="shared" si="69"/>
        <v>2.85</v>
      </c>
      <c r="R88" s="55">
        <f t="shared" si="69"/>
        <v>2.85</v>
      </c>
    </row>
    <row r="89" ht="38.25" customHeight="1">
      <c r="B89" s="42" t="s">
        <v>6</v>
      </c>
      <c r="C89" s="44">
        <f>E75</f>
        <v>3</v>
      </c>
      <c r="D89" s="55">
        <f t="shared" ref="D89:R89" si="70">$C$89*D81/3</f>
        <v>0</v>
      </c>
      <c r="E89" s="55">
        <f t="shared" si="70"/>
        <v>0</v>
      </c>
      <c r="F89" s="55">
        <f t="shared" si="70"/>
        <v>0</v>
      </c>
      <c r="G89" s="55">
        <f t="shared" si="70"/>
        <v>3</v>
      </c>
      <c r="H89" s="55">
        <f t="shared" si="70"/>
        <v>2</v>
      </c>
      <c r="I89" s="55">
        <f t="shared" si="70"/>
        <v>1</v>
      </c>
      <c r="J89" s="55">
        <f t="shared" si="70"/>
        <v>0</v>
      </c>
      <c r="K89" s="55">
        <f t="shared" si="70"/>
        <v>2</v>
      </c>
      <c r="L89" s="55">
        <f t="shared" si="70"/>
        <v>1</v>
      </c>
      <c r="M89" s="55">
        <f t="shared" si="70"/>
        <v>2</v>
      </c>
      <c r="N89" s="55">
        <f t="shared" si="70"/>
        <v>0</v>
      </c>
      <c r="O89" s="55">
        <f t="shared" si="70"/>
        <v>2</v>
      </c>
      <c r="P89" s="55">
        <f t="shared" si="70"/>
        <v>3</v>
      </c>
      <c r="Q89" s="55">
        <f t="shared" si="70"/>
        <v>3</v>
      </c>
      <c r="R89" s="55">
        <f t="shared" si="70"/>
        <v>3</v>
      </c>
    </row>
    <row r="90" ht="38.25" customHeight="1">
      <c r="B90" s="50" t="s">
        <v>7</v>
      </c>
      <c r="C90" s="44">
        <f>F75</f>
        <v>2.92</v>
      </c>
      <c r="D90" s="55">
        <f t="shared" ref="D90:R90" si="71">$C$90*D82/3</f>
        <v>0</v>
      </c>
      <c r="E90" s="55">
        <f t="shared" si="71"/>
        <v>0</v>
      </c>
      <c r="F90" s="55">
        <f t="shared" si="71"/>
        <v>0</v>
      </c>
      <c r="G90" s="55">
        <f t="shared" si="71"/>
        <v>1.946666667</v>
      </c>
      <c r="H90" s="55">
        <f t="shared" si="71"/>
        <v>0.9733333333</v>
      </c>
      <c r="I90" s="55">
        <f t="shared" si="71"/>
        <v>0.9733333333</v>
      </c>
      <c r="J90" s="55">
        <f t="shared" si="71"/>
        <v>0</v>
      </c>
      <c r="K90" s="55">
        <f t="shared" si="71"/>
        <v>1.946666667</v>
      </c>
      <c r="L90" s="55">
        <f t="shared" si="71"/>
        <v>0.9733333333</v>
      </c>
      <c r="M90" s="55">
        <f t="shared" si="71"/>
        <v>1.946666667</v>
      </c>
      <c r="N90" s="55">
        <f t="shared" si="71"/>
        <v>0</v>
      </c>
      <c r="O90" s="55">
        <f t="shared" si="71"/>
        <v>1.946666667</v>
      </c>
      <c r="P90" s="55">
        <f t="shared" si="71"/>
        <v>2.92</v>
      </c>
      <c r="Q90" s="55">
        <f t="shared" si="71"/>
        <v>1.946666667</v>
      </c>
      <c r="R90" s="55">
        <f t="shared" si="71"/>
        <v>2.92</v>
      </c>
    </row>
    <row r="91" ht="38.25" customHeight="1">
      <c r="B91" s="42" t="s">
        <v>8</v>
      </c>
      <c r="C91" s="44">
        <f>G75</f>
        <v>2.9</v>
      </c>
      <c r="D91" s="55">
        <f>$C$91*D83/3</f>
        <v>0</v>
      </c>
      <c r="E91" s="80">
        <v>0.0</v>
      </c>
      <c r="F91" s="60">
        <v>0.0</v>
      </c>
      <c r="G91" s="60">
        <v>0.0</v>
      </c>
      <c r="H91" s="60">
        <v>1.0</v>
      </c>
      <c r="I91" s="62">
        <v>1.0</v>
      </c>
      <c r="J91" s="62">
        <v>0.0</v>
      </c>
      <c r="K91" s="62">
        <v>0.0</v>
      </c>
      <c r="L91" s="62">
        <v>2.0</v>
      </c>
      <c r="M91" s="62">
        <v>2.0</v>
      </c>
      <c r="N91" s="62">
        <v>0.0</v>
      </c>
      <c r="O91" s="62">
        <v>0.0</v>
      </c>
      <c r="P91" s="55">
        <f t="shared" ref="P91:R91" si="72">$C$87*P83/3</f>
        <v>2.75</v>
      </c>
      <c r="Q91" s="55">
        <f t="shared" si="72"/>
        <v>2.75</v>
      </c>
      <c r="R91" s="55">
        <f t="shared" si="72"/>
        <v>2.75</v>
      </c>
    </row>
    <row r="92" ht="38.25" customHeight="1">
      <c r="B92" s="53" t="s">
        <v>47</v>
      </c>
      <c r="C92" s="16"/>
      <c r="D92" s="55" t="str">
        <f t="shared" ref="D92:R92" si="73">SUM(D87:D91)/COUNTIF(D87:D91,"&gt;0")</f>
        <v>#DIV/0!</v>
      </c>
      <c r="E92" s="55" t="str">
        <f t="shared" si="73"/>
        <v>#DIV/0!</v>
      </c>
      <c r="F92" s="55" t="str">
        <f t="shared" si="73"/>
        <v>#DIV/0!</v>
      </c>
      <c r="G92" s="55">
        <f t="shared" si="73"/>
        <v>2.636666667</v>
      </c>
      <c r="H92" s="54">
        <f t="shared" si="73"/>
        <v>1.541333333</v>
      </c>
      <c r="I92" s="54">
        <f t="shared" si="73"/>
        <v>0.968</v>
      </c>
      <c r="J92" s="55" t="str">
        <f t="shared" si="73"/>
        <v>#DIV/0!</v>
      </c>
      <c r="K92" s="54">
        <f t="shared" si="73"/>
        <v>1.973333333</v>
      </c>
      <c r="L92" s="54">
        <f t="shared" si="73"/>
        <v>1.168</v>
      </c>
      <c r="M92" s="54">
        <f t="shared" si="73"/>
        <v>1.936</v>
      </c>
      <c r="N92" s="54" t="str">
        <f t="shared" si="73"/>
        <v>#DIV/0!</v>
      </c>
      <c r="O92" s="54">
        <f t="shared" si="73"/>
        <v>1.92</v>
      </c>
      <c r="P92" s="55">
        <f t="shared" si="73"/>
        <v>2.854</v>
      </c>
      <c r="Q92" s="55">
        <f t="shared" si="73"/>
        <v>2.659333333</v>
      </c>
      <c r="R92" s="54">
        <f t="shared" si="73"/>
        <v>2.854</v>
      </c>
    </row>
    <row r="93" ht="38.25" customHeight="1">
      <c r="D93" s="74"/>
      <c r="E93" s="74"/>
    </row>
    <row r="94" ht="38.25" customHeight="1">
      <c r="D94" s="74"/>
      <c r="E94" s="74"/>
    </row>
    <row r="95" ht="38.25" customHeight="1">
      <c r="D95" s="74"/>
      <c r="E95" s="74"/>
    </row>
    <row r="96" ht="38.25" customHeight="1">
      <c r="D96" s="74"/>
      <c r="E96" s="74"/>
    </row>
    <row r="97" ht="38.25" customHeight="1">
      <c r="D97" s="74"/>
      <c r="E97" s="74"/>
    </row>
    <row r="98" ht="38.25" customHeight="1">
      <c r="D98" s="74"/>
      <c r="E98" s="74"/>
    </row>
    <row r="99" ht="38.25" customHeight="1">
      <c r="D99" s="74"/>
      <c r="E99" s="74"/>
    </row>
    <row r="100" ht="38.25" customHeight="1">
      <c r="D100" s="74"/>
      <c r="E100" s="74"/>
    </row>
    <row r="101" ht="38.25" customHeight="1">
      <c r="D101" s="74"/>
      <c r="E101" s="74"/>
    </row>
    <row r="102" ht="38.25" customHeight="1">
      <c r="D102" s="74"/>
      <c r="E102" s="74"/>
    </row>
    <row r="103" ht="38.25" customHeight="1">
      <c r="D103" s="74"/>
      <c r="E103" s="74"/>
    </row>
    <row r="104" ht="38.25" customHeight="1">
      <c r="D104" s="74"/>
      <c r="E104" s="74"/>
    </row>
    <row r="105" ht="38.25" customHeight="1">
      <c r="D105" s="74"/>
      <c r="E105" s="74"/>
    </row>
    <row r="106" ht="38.25" customHeight="1">
      <c r="D106" s="74"/>
      <c r="E106" s="74"/>
    </row>
    <row r="107" ht="38.25" customHeight="1">
      <c r="D107" s="74"/>
      <c r="E107" s="74"/>
    </row>
    <row r="108" ht="38.25" customHeight="1">
      <c r="D108" s="74"/>
      <c r="E108" s="74"/>
    </row>
    <row r="109" ht="38.25" customHeight="1">
      <c r="D109" s="74"/>
      <c r="E109" s="74"/>
    </row>
    <row r="110" ht="38.25" customHeight="1">
      <c r="D110" s="74"/>
      <c r="E110" s="74"/>
    </row>
    <row r="111" ht="38.25" customHeight="1">
      <c r="D111" s="74"/>
      <c r="E111" s="74"/>
    </row>
    <row r="112" ht="38.25" customHeight="1">
      <c r="D112" s="74"/>
      <c r="E112" s="74"/>
    </row>
    <row r="113" ht="38.25" customHeight="1">
      <c r="D113" s="74"/>
      <c r="E113" s="74"/>
    </row>
    <row r="114" ht="38.25" customHeight="1">
      <c r="D114" s="74"/>
      <c r="E114" s="74"/>
    </row>
    <row r="115" ht="38.25" customHeight="1">
      <c r="D115" s="74"/>
      <c r="E115" s="74"/>
    </row>
    <row r="116" ht="38.25" customHeight="1">
      <c r="D116" s="74"/>
      <c r="E116" s="74"/>
    </row>
    <row r="117" ht="38.25" customHeight="1">
      <c r="D117" s="74"/>
      <c r="E117" s="74"/>
    </row>
    <row r="118" ht="38.25" customHeight="1">
      <c r="D118" s="74"/>
      <c r="E118" s="74"/>
    </row>
    <row r="119" ht="38.25" customHeight="1">
      <c r="D119" s="74"/>
      <c r="E119" s="74"/>
    </row>
    <row r="120" ht="38.25" customHeight="1">
      <c r="D120" s="74"/>
      <c r="E120" s="74"/>
    </row>
    <row r="121" ht="38.25" customHeight="1">
      <c r="D121" s="74"/>
      <c r="E121" s="74"/>
    </row>
    <row r="122" ht="38.25" customHeight="1">
      <c r="D122" s="74"/>
      <c r="E122" s="74"/>
    </row>
    <row r="123" ht="38.25" customHeight="1">
      <c r="D123" s="74"/>
      <c r="E123" s="74"/>
    </row>
    <row r="124" ht="38.25" customHeight="1">
      <c r="D124" s="74"/>
      <c r="E124" s="74"/>
    </row>
    <row r="125" ht="38.25" customHeight="1">
      <c r="D125" s="74"/>
      <c r="E125" s="74"/>
    </row>
    <row r="126" ht="38.25" customHeight="1">
      <c r="D126" s="74"/>
      <c r="E126" s="74"/>
    </row>
    <row r="127" ht="38.25" customHeight="1">
      <c r="D127" s="74"/>
      <c r="E127" s="74"/>
    </row>
    <row r="128" ht="38.25" customHeight="1">
      <c r="D128" s="74"/>
      <c r="E128" s="74"/>
    </row>
    <row r="129" ht="38.25" customHeight="1">
      <c r="D129" s="74"/>
      <c r="E129" s="74"/>
    </row>
    <row r="130" ht="38.25" customHeight="1">
      <c r="D130" s="74"/>
      <c r="E130" s="74"/>
    </row>
    <row r="131" ht="38.25" customHeight="1">
      <c r="D131" s="74"/>
      <c r="E131" s="74"/>
    </row>
    <row r="132" ht="38.25" customHeight="1">
      <c r="D132" s="74"/>
      <c r="E132" s="74"/>
    </row>
    <row r="133" ht="38.25" customHeight="1">
      <c r="D133" s="74"/>
      <c r="E133" s="74"/>
    </row>
    <row r="134" ht="38.25" customHeight="1">
      <c r="D134" s="74"/>
      <c r="E134" s="74"/>
    </row>
    <row r="135" ht="38.25" customHeight="1">
      <c r="D135" s="74"/>
      <c r="E135" s="74"/>
    </row>
    <row r="136" ht="38.25" customHeight="1">
      <c r="D136" s="74"/>
      <c r="E136" s="74"/>
    </row>
    <row r="137" ht="38.25" customHeight="1">
      <c r="D137" s="74"/>
      <c r="E137" s="74"/>
    </row>
    <row r="138" ht="38.25" customHeight="1">
      <c r="D138" s="74"/>
      <c r="E138" s="74"/>
    </row>
    <row r="139" ht="38.25" customHeight="1">
      <c r="D139" s="74"/>
      <c r="E139" s="74"/>
    </row>
    <row r="140" ht="38.25" customHeight="1">
      <c r="D140" s="74"/>
      <c r="E140" s="74"/>
    </row>
    <row r="141" ht="38.25" customHeight="1">
      <c r="D141" s="74"/>
      <c r="E141" s="74"/>
    </row>
    <row r="142" ht="38.25" customHeight="1">
      <c r="D142" s="74"/>
      <c r="E142" s="74"/>
    </row>
    <row r="143" ht="38.25" customHeight="1">
      <c r="D143" s="74"/>
      <c r="E143" s="74"/>
    </row>
    <row r="144" ht="38.25" customHeight="1">
      <c r="D144" s="74"/>
      <c r="E144" s="74"/>
    </row>
    <row r="145" ht="38.25" customHeight="1">
      <c r="D145" s="74"/>
      <c r="E145" s="74"/>
    </row>
    <row r="146" ht="38.25" customHeight="1">
      <c r="D146" s="74"/>
      <c r="E146" s="74"/>
    </row>
    <row r="147" ht="38.25" customHeight="1">
      <c r="D147" s="74"/>
      <c r="E147" s="74"/>
    </row>
    <row r="148" ht="38.25" customHeight="1">
      <c r="D148" s="74"/>
      <c r="E148" s="74"/>
    </row>
    <row r="149" ht="38.25" customHeight="1">
      <c r="D149" s="74"/>
      <c r="E149" s="74"/>
    </row>
    <row r="150" ht="38.25" customHeight="1">
      <c r="D150" s="74"/>
      <c r="E150" s="74"/>
    </row>
    <row r="151" ht="38.25" customHeight="1">
      <c r="D151" s="74"/>
      <c r="E151" s="74"/>
    </row>
    <row r="152" ht="38.25" customHeight="1">
      <c r="D152" s="74"/>
      <c r="E152" s="74"/>
    </row>
    <row r="153" ht="38.25" customHeight="1">
      <c r="D153" s="74"/>
      <c r="E153" s="74"/>
    </row>
    <row r="154" ht="38.25" customHeight="1">
      <c r="D154" s="74"/>
      <c r="E154" s="74"/>
    </row>
    <row r="155" ht="38.25" customHeight="1">
      <c r="D155" s="74"/>
      <c r="E155" s="74"/>
    </row>
    <row r="156" ht="38.25" customHeight="1">
      <c r="D156" s="74"/>
      <c r="E156" s="74"/>
    </row>
    <row r="157" ht="38.25" customHeight="1">
      <c r="D157" s="74"/>
      <c r="E157" s="74"/>
    </row>
    <row r="158" ht="38.25" customHeight="1">
      <c r="D158" s="74"/>
      <c r="E158" s="74"/>
    </row>
    <row r="159" ht="38.25" customHeight="1">
      <c r="D159" s="74"/>
      <c r="E159" s="74"/>
    </row>
    <row r="160" ht="38.25" customHeight="1">
      <c r="D160" s="74"/>
      <c r="E160" s="74"/>
    </row>
    <row r="161" ht="38.25" customHeight="1">
      <c r="D161" s="74"/>
      <c r="E161" s="74"/>
    </row>
    <row r="162" ht="38.25" customHeight="1">
      <c r="D162" s="74"/>
      <c r="E162" s="74"/>
    </row>
    <row r="163" ht="38.25" customHeight="1">
      <c r="D163" s="74"/>
      <c r="E163" s="74"/>
    </row>
    <row r="164" ht="38.25" customHeight="1">
      <c r="D164" s="74"/>
      <c r="E164" s="74"/>
    </row>
    <row r="165" ht="38.25" customHeight="1">
      <c r="D165" s="74"/>
      <c r="E165" s="74"/>
    </row>
    <row r="166" ht="38.25" customHeight="1">
      <c r="D166" s="74"/>
      <c r="E166" s="74"/>
    </row>
    <row r="167" ht="38.25" customHeight="1">
      <c r="D167" s="74"/>
      <c r="E167" s="74"/>
    </row>
    <row r="168" ht="38.25" customHeight="1">
      <c r="D168" s="74"/>
      <c r="E168" s="74"/>
    </row>
    <row r="169" ht="38.25" customHeight="1">
      <c r="D169" s="74"/>
      <c r="E169" s="74"/>
    </row>
    <row r="170" ht="38.25" customHeight="1">
      <c r="D170" s="74"/>
      <c r="E170" s="74"/>
    </row>
    <row r="171" ht="38.25" customHeight="1">
      <c r="D171" s="74"/>
      <c r="E171" s="74"/>
    </row>
    <row r="172" ht="38.25" customHeight="1">
      <c r="D172" s="74"/>
      <c r="E172" s="74"/>
    </row>
    <row r="173" ht="38.25" customHeight="1">
      <c r="D173" s="74"/>
      <c r="E173" s="74"/>
    </row>
    <row r="174" ht="38.25" customHeight="1">
      <c r="D174" s="74"/>
      <c r="E174" s="74"/>
    </row>
    <row r="175" ht="38.25" customHeight="1">
      <c r="D175" s="74"/>
      <c r="E175" s="74"/>
    </row>
    <row r="176" ht="38.25" customHeight="1">
      <c r="D176" s="74"/>
      <c r="E176" s="74"/>
    </row>
    <row r="177" ht="38.25" customHeight="1">
      <c r="D177" s="74"/>
      <c r="E177" s="74"/>
    </row>
    <row r="178" ht="38.25" customHeight="1">
      <c r="D178" s="74"/>
      <c r="E178" s="74"/>
    </row>
    <row r="179" ht="38.25" customHeight="1">
      <c r="D179" s="74"/>
      <c r="E179" s="74"/>
    </row>
    <row r="180" ht="38.25" customHeight="1">
      <c r="D180" s="74"/>
      <c r="E180" s="74"/>
    </row>
    <row r="181" ht="38.25" customHeight="1">
      <c r="D181" s="74"/>
      <c r="E181" s="74"/>
    </row>
    <row r="182" ht="38.25" customHeight="1">
      <c r="D182" s="74"/>
      <c r="E182" s="74"/>
    </row>
    <row r="183" ht="38.25" customHeight="1">
      <c r="D183" s="74"/>
      <c r="E183" s="74"/>
    </row>
    <row r="184" ht="38.25" customHeight="1">
      <c r="D184" s="74"/>
      <c r="E184" s="74"/>
    </row>
    <row r="185" ht="38.25" customHeight="1">
      <c r="D185" s="74"/>
      <c r="E185" s="74"/>
    </row>
    <row r="186" ht="38.25" customHeight="1">
      <c r="D186" s="74"/>
      <c r="E186" s="74"/>
    </row>
    <row r="187" ht="38.25" customHeight="1">
      <c r="D187" s="74"/>
      <c r="E187" s="74"/>
    </row>
    <row r="188" ht="38.25" customHeight="1">
      <c r="D188" s="74"/>
      <c r="E188" s="74"/>
    </row>
    <row r="189" ht="38.25" customHeight="1">
      <c r="D189" s="74"/>
      <c r="E189" s="74"/>
    </row>
    <row r="190" ht="38.25" customHeight="1">
      <c r="D190" s="74"/>
      <c r="E190" s="74"/>
    </row>
    <row r="191" ht="38.25" customHeight="1">
      <c r="D191" s="74"/>
      <c r="E191" s="74"/>
    </row>
    <row r="192" ht="38.25" customHeight="1">
      <c r="D192" s="74"/>
      <c r="E192" s="74"/>
    </row>
    <row r="193" ht="38.25" customHeight="1">
      <c r="D193" s="74"/>
      <c r="E193" s="74"/>
    </row>
    <row r="194" ht="38.25" customHeight="1">
      <c r="D194" s="74"/>
      <c r="E194" s="74"/>
    </row>
    <row r="195" ht="38.25" customHeight="1">
      <c r="D195" s="74"/>
      <c r="E195" s="74"/>
    </row>
    <row r="196" ht="38.25" customHeight="1">
      <c r="D196" s="74"/>
      <c r="E196" s="74"/>
    </row>
    <row r="197" ht="38.25" customHeight="1">
      <c r="D197" s="74"/>
      <c r="E197" s="74"/>
    </row>
    <row r="198" ht="38.25" customHeight="1">
      <c r="D198" s="74"/>
      <c r="E198" s="74"/>
    </row>
    <row r="199" ht="38.25" customHeight="1">
      <c r="D199" s="74"/>
      <c r="E199" s="74"/>
    </row>
    <row r="200" ht="38.25" customHeight="1">
      <c r="D200" s="74"/>
      <c r="E200" s="74"/>
    </row>
    <row r="201" ht="38.25" customHeight="1">
      <c r="D201" s="74"/>
      <c r="E201" s="74"/>
    </row>
    <row r="202" ht="38.25" customHeight="1">
      <c r="D202" s="74"/>
      <c r="E202" s="74"/>
    </row>
    <row r="203" ht="38.25" customHeight="1">
      <c r="D203" s="74"/>
      <c r="E203" s="74"/>
    </row>
    <row r="204" ht="38.25" customHeight="1">
      <c r="D204" s="74"/>
      <c r="E204" s="74"/>
    </row>
    <row r="205" ht="38.25" customHeight="1">
      <c r="D205" s="74"/>
      <c r="E205" s="74"/>
    </row>
    <row r="206" ht="38.25" customHeight="1">
      <c r="D206" s="74"/>
      <c r="E206" s="74"/>
    </row>
    <row r="207" ht="38.25" customHeight="1">
      <c r="D207" s="74"/>
      <c r="E207" s="74"/>
    </row>
    <row r="208" ht="38.25" customHeight="1">
      <c r="D208" s="74"/>
      <c r="E208" s="74"/>
    </row>
    <row r="209" ht="38.25" customHeight="1">
      <c r="D209" s="74"/>
      <c r="E209" s="74"/>
    </row>
    <row r="210" ht="38.25" customHeight="1">
      <c r="D210" s="74"/>
      <c r="E210" s="74"/>
    </row>
    <row r="211" ht="38.25" customHeight="1">
      <c r="D211" s="74"/>
      <c r="E211" s="74"/>
    </row>
    <row r="212" ht="38.25" customHeight="1">
      <c r="D212" s="74"/>
      <c r="E212" s="74"/>
    </row>
    <row r="213" ht="38.25" customHeight="1">
      <c r="D213" s="74"/>
      <c r="E213" s="74"/>
    </row>
    <row r="214" ht="38.25" customHeight="1">
      <c r="D214" s="74"/>
      <c r="E214" s="74"/>
    </row>
    <row r="215" ht="38.25" customHeight="1">
      <c r="D215" s="74"/>
      <c r="E215" s="74"/>
    </row>
    <row r="216" ht="38.25" customHeight="1">
      <c r="D216" s="74"/>
      <c r="E216" s="74"/>
    </row>
    <row r="217" ht="38.25" customHeight="1">
      <c r="D217" s="74"/>
      <c r="E217" s="74"/>
    </row>
    <row r="218" ht="38.25" customHeight="1">
      <c r="D218" s="74"/>
      <c r="E218" s="74"/>
    </row>
    <row r="219" ht="38.25" customHeight="1">
      <c r="D219" s="74"/>
      <c r="E219" s="74"/>
    </row>
    <row r="220" ht="38.25" customHeight="1">
      <c r="D220" s="74"/>
      <c r="E220" s="74"/>
    </row>
    <row r="221" ht="38.25" customHeight="1">
      <c r="D221" s="74"/>
      <c r="E221" s="74"/>
    </row>
    <row r="222" ht="38.25" customHeight="1">
      <c r="D222" s="74"/>
      <c r="E222" s="74"/>
    </row>
    <row r="223" ht="38.25" customHeight="1">
      <c r="D223" s="74"/>
      <c r="E223" s="74"/>
    </row>
    <row r="224" ht="38.25" customHeight="1">
      <c r="D224" s="74"/>
      <c r="E224" s="74"/>
    </row>
    <row r="225" ht="38.25" customHeight="1">
      <c r="D225" s="74"/>
      <c r="E225" s="74"/>
    </row>
    <row r="226" ht="38.25" customHeight="1">
      <c r="D226" s="74"/>
      <c r="E226" s="74"/>
    </row>
    <row r="227" ht="38.25" customHeight="1">
      <c r="D227" s="74"/>
      <c r="E227" s="74"/>
    </row>
    <row r="228" ht="38.25" customHeight="1">
      <c r="D228" s="74"/>
      <c r="E228" s="74"/>
    </row>
    <row r="229" ht="38.25" customHeight="1">
      <c r="D229" s="74"/>
      <c r="E229" s="74"/>
    </row>
    <row r="230" ht="38.25" customHeight="1">
      <c r="D230" s="74"/>
      <c r="E230" s="74"/>
    </row>
    <row r="231" ht="38.25" customHeight="1">
      <c r="D231" s="74"/>
      <c r="E231" s="74"/>
    </row>
    <row r="232" ht="38.25" customHeight="1">
      <c r="D232" s="74"/>
      <c r="E232" s="74"/>
    </row>
    <row r="233" ht="38.25" customHeight="1">
      <c r="D233" s="74"/>
      <c r="E233" s="74"/>
    </row>
    <row r="234" ht="38.25" customHeight="1">
      <c r="D234" s="74"/>
      <c r="E234" s="74"/>
    </row>
    <row r="235" ht="38.25" customHeight="1">
      <c r="D235" s="74"/>
      <c r="E235" s="74"/>
    </row>
    <row r="236" ht="38.25" customHeight="1">
      <c r="D236" s="74"/>
      <c r="E236" s="74"/>
    </row>
    <row r="237" ht="38.25" customHeight="1">
      <c r="D237" s="74"/>
      <c r="E237" s="74"/>
    </row>
    <row r="238" ht="38.25" customHeight="1">
      <c r="D238" s="74"/>
      <c r="E238" s="74"/>
    </row>
    <row r="239" ht="38.25" customHeight="1">
      <c r="D239" s="74"/>
      <c r="E239" s="74"/>
    </row>
    <row r="240" ht="38.25" customHeight="1">
      <c r="D240" s="74"/>
      <c r="E240" s="74"/>
    </row>
    <row r="241" ht="38.25" customHeight="1">
      <c r="D241" s="74"/>
      <c r="E241" s="74"/>
    </row>
    <row r="242" ht="38.25" customHeight="1">
      <c r="D242" s="74"/>
      <c r="E242" s="74"/>
    </row>
    <row r="243" ht="38.25" customHeight="1">
      <c r="D243" s="74"/>
      <c r="E243" s="74"/>
    </row>
    <row r="244" ht="38.25" customHeight="1">
      <c r="D244" s="74"/>
      <c r="E244" s="74"/>
    </row>
    <row r="245" ht="38.25" customHeight="1">
      <c r="D245" s="74"/>
      <c r="E245" s="74"/>
    </row>
    <row r="246" ht="38.25" customHeight="1">
      <c r="D246" s="74"/>
      <c r="E246" s="74"/>
    </row>
    <row r="247" ht="38.25" customHeight="1">
      <c r="D247" s="74"/>
      <c r="E247" s="74"/>
    </row>
    <row r="248" ht="38.25" customHeight="1">
      <c r="D248" s="74"/>
      <c r="E248" s="74"/>
    </row>
    <row r="249" ht="38.25" customHeight="1">
      <c r="D249" s="74"/>
      <c r="E249" s="74"/>
    </row>
    <row r="250" ht="38.25" customHeight="1">
      <c r="D250" s="74"/>
      <c r="E250" s="74"/>
    </row>
    <row r="251" ht="38.25" customHeight="1">
      <c r="D251" s="74"/>
      <c r="E251" s="74"/>
    </row>
    <row r="252" ht="38.25" customHeight="1">
      <c r="D252" s="74"/>
      <c r="E252" s="74"/>
    </row>
    <row r="253" ht="38.25" customHeight="1">
      <c r="D253" s="74"/>
      <c r="E253" s="74"/>
    </row>
    <row r="254" ht="38.25" customHeight="1">
      <c r="D254" s="74"/>
      <c r="E254" s="74"/>
    </row>
    <row r="255" ht="38.25" customHeight="1">
      <c r="D255" s="74"/>
      <c r="E255" s="74"/>
    </row>
    <row r="256" ht="38.25" customHeight="1">
      <c r="D256" s="74"/>
      <c r="E256" s="74"/>
    </row>
    <row r="257" ht="38.25" customHeight="1">
      <c r="D257" s="74"/>
      <c r="E257" s="74"/>
    </row>
    <row r="258" ht="38.25" customHeight="1">
      <c r="D258" s="74"/>
      <c r="E258" s="74"/>
    </row>
    <row r="259" ht="38.25" customHeight="1">
      <c r="D259" s="74"/>
      <c r="E259" s="74"/>
    </row>
    <row r="260" ht="38.25" customHeight="1">
      <c r="D260" s="74"/>
      <c r="E260" s="74"/>
    </row>
    <row r="261" ht="38.25" customHeight="1">
      <c r="D261" s="74"/>
      <c r="E261" s="74"/>
    </row>
    <row r="262" ht="38.25" customHeight="1">
      <c r="D262" s="74"/>
      <c r="E262" s="74"/>
    </row>
    <row r="263" ht="38.25" customHeight="1">
      <c r="D263" s="74"/>
      <c r="E263" s="74"/>
    </row>
    <row r="264" ht="38.25" customHeight="1">
      <c r="D264" s="74"/>
      <c r="E264" s="74"/>
    </row>
    <row r="265" ht="38.25" customHeight="1">
      <c r="D265" s="74"/>
      <c r="E265" s="74"/>
    </row>
    <row r="266" ht="38.25" customHeight="1">
      <c r="D266" s="74"/>
      <c r="E266" s="74"/>
    </row>
    <row r="267" ht="38.25" customHeight="1">
      <c r="D267" s="74"/>
      <c r="E267" s="74"/>
    </row>
    <row r="268" ht="38.25" customHeight="1">
      <c r="D268" s="74"/>
      <c r="E268" s="74"/>
    </row>
    <row r="269" ht="38.25" customHeight="1">
      <c r="D269" s="74"/>
      <c r="E269" s="74"/>
    </row>
    <row r="270" ht="38.25" customHeight="1">
      <c r="D270" s="74"/>
      <c r="E270" s="74"/>
    </row>
    <row r="271" ht="38.25" customHeight="1">
      <c r="D271" s="74"/>
      <c r="E271" s="74"/>
    </row>
    <row r="272" ht="38.25" customHeight="1">
      <c r="D272" s="74"/>
      <c r="E272" s="74"/>
    </row>
    <row r="273" ht="38.25" customHeight="1">
      <c r="D273" s="74"/>
      <c r="E273" s="74"/>
    </row>
    <row r="274" ht="38.25" customHeight="1">
      <c r="D274" s="74"/>
      <c r="E274" s="74"/>
    </row>
    <row r="275" ht="38.25" customHeight="1">
      <c r="D275" s="74"/>
      <c r="E275" s="74"/>
    </row>
    <row r="276" ht="38.25" customHeight="1">
      <c r="D276" s="74"/>
      <c r="E276" s="74"/>
    </row>
    <row r="277" ht="38.25" customHeight="1">
      <c r="D277" s="74"/>
      <c r="E277" s="74"/>
    </row>
    <row r="278" ht="38.25" customHeight="1">
      <c r="D278" s="74"/>
      <c r="E278" s="74"/>
    </row>
    <row r="279" ht="38.25" customHeight="1">
      <c r="D279" s="74"/>
      <c r="E279" s="74"/>
    </row>
    <row r="280" ht="38.25" customHeight="1">
      <c r="D280" s="74"/>
      <c r="E280" s="74"/>
    </row>
    <row r="281" ht="38.25" customHeight="1">
      <c r="D281" s="74"/>
      <c r="E281" s="74"/>
    </row>
    <row r="282" ht="38.25" customHeight="1">
      <c r="D282" s="74"/>
      <c r="E282" s="74"/>
    </row>
    <row r="283" ht="38.25" customHeight="1">
      <c r="D283" s="74"/>
      <c r="E283" s="74"/>
    </row>
    <row r="284" ht="38.25" customHeight="1">
      <c r="D284" s="74"/>
      <c r="E284" s="74"/>
    </row>
    <row r="285" ht="38.25" customHeight="1">
      <c r="D285" s="74"/>
      <c r="E285" s="74"/>
    </row>
    <row r="286" ht="38.25" customHeight="1">
      <c r="D286" s="74"/>
      <c r="E286" s="74"/>
    </row>
    <row r="287" ht="38.25" customHeight="1">
      <c r="D287" s="74"/>
      <c r="E287" s="74"/>
    </row>
    <row r="288" ht="38.25" customHeight="1">
      <c r="D288" s="74"/>
      <c r="E288" s="74"/>
    </row>
    <row r="289" ht="38.25" customHeight="1">
      <c r="D289" s="74"/>
      <c r="E289" s="74"/>
    </row>
    <row r="290" ht="38.25" customHeight="1">
      <c r="D290" s="74"/>
      <c r="E290" s="74"/>
    </row>
    <row r="291" ht="38.25" customHeight="1">
      <c r="D291" s="74"/>
      <c r="E291" s="74"/>
    </row>
    <row r="292" ht="38.25" customHeight="1">
      <c r="D292" s="74"/>
      <c r="E292" s="74"/>
    </row>
    <row r="293" ht="38.25" customHeight="1">
      <c r="D293" s="74"/>
      <c r="E293" s="74"/>
    </row>
    <row r="294" ht="38.25" customHeight="1">
      <c r="D294" s="74"/>
      <c r="E294" s="74"/>
    </row>
    <row r="295" ht="38.25" customHeight="1">
      <c r="D295" s="74"/>
      <c r="E295" s="74"/>
    </row>
    <row r="296" ht="38.25" customHeight="1">
      <c r="D296" s="74"/>
      <c r="E296" s="74"/>
    </row>
    <row r="297" ht="38.25" customHeight="1">
      <c r="D297" s="74"/>
      <c r="E297" s="74"/>
    </row>
    <row r="298" ht="38.25" customHeight="1">
      <c r="D298" s="74"/>
      <c r="E298" s="74"/>
    </row>
    <row r="299" ht="38.25" customHeight="1">
      <c r="D299" s="74"/>
      <c r="E299" s="74"/>
    </row>
    <row r="300" ht="38.25" customHeight="1">
      <c r="D300" s="74"/>
      <c r="E300" s="74"/>
    </row>
    <row r="301" ht="38.25" customHeight="1">
      <c r="D301" s="74"/>
      <c r="E301" s="74"/>
    </row>
    <row r="302" ht="38.25" customHeight="1">
      <c r="D302" s="74"/>
      <c r="E302" s="74"/>
    </row>
    <row r="303" ht="38.25" customHeight="1">
      <c r="D303" s="74"/>
      <c r="E303" s="74"/>
    </row>
    <row r="304" ht="38.25" customHeight="1">
      <c r="D304" s="74"/>
      <c r="E304" s="74"/>
    </row>
    <row r="305" ht="38.25" customHeight="1">
      <c r="D305" s="74"/>
      <c r="E305" s="74"/>
    </row>
    <row r="306" ht="38.25" customHeight="1">
      <c r="D306" s="74"/>
      <c r="E306" s="74"/>
    </row>
    <row r="307" ht="38.25" customHeight="1">
      <c r="D307" s="74"/>
      <c r="E307" s="74"/>
    </row>
    <row r="308" ht="38.25" customHeight="1">
      <c r="D308" s="74"/>
      <c r="E308" s="74"/>
    </row>
    <row r="309" ht="38.25" customHeight="1">
      <c r="D309" s="74"/>
      <c r="E309" s="74"/>
    </row>
    <row r="310" ht="38.25" customHeight="1">
      <c r="D310" s="74"/>
      <c r="E310" s="74"/>
    </row>
    <row r="311" ht="38.25" customHeight="1">
      <c r="D311" s="74"/>
      <c r="E311" s="74"/>
    </row>
    <row r="312" ht="38.25" customHeight="1">
      <c r="D312" s="74"/>
      <c r="E312" s="74"/>
    </row>
    <row r="313" ht="38.25" customHeight="1">
      <c r="D313" s="74"/>
      <c r="E313" s="74"/>
    </row>
    <row r="314" ht="38.25" customHeight="1">
      <c r="D314" s="74"/>
      <c r="E314" s="74"/>
    </row>
    <row r="315" ht="38.25" customHeight="1">
      <c r="D315" s="74"/>
      <c r="E315" s="74"/>
    </row>
    <row r="316" ht="38.25" customHeight="1">
      <c r="D316" s="74"/>
      <c r="E316" s="74"/>
    </row>
    <row r="317" ht="38.25" customHeight="1">
      <c r="D317" s="74"/>
      <c r="E317" s="74"/>
    </row>
    <row r="318" ht="38.25" customHeight="1">
      <c r="D318" s="74"/>
      <c r="E318" s="74"/>
    </row>
    <row r="319" ht="38.25" customHeight="1">
      <c r="D319" s="74"/>
      <c r="E319" s="74"/>
    </row>
    <row r="320" ht="38.25" customHeight="1">
      <c r="D320" s="74"/>
      <c r="E320" s="74"/>
    </row>
    <row r="321" ht="38.25" customHeight="1">
      <c r="D321" s="74"/>
      <c r="E321" s="74"/>
    </row>
    <row r="322" ht="38.25" customHeight="1">
      <c r="D322" s="74"/>
      <c r="E322" s="74"/>
    </row>
    <row r="323" ht="38.25" customHeight="1">
      <c r="D323" s="74"/>
      <c r="E323" s="74"/>
    </row>
    <row r="324" ht="38.25" customHeight="1">
      <c r="D324" s="74"/>
      <c r="E324" s="74"/>
    </row>
    <row r="325" ht="38.25" customHeight="1">
      <c r="D325" s="74"/>
      <c r="E325" s="74"/>
    </row>
    <row r="326" ht="38.25" customHeight="1">
      <c r="D326" s="74"/>
      <c r="E326" s="74"/>
    </row>
    <row r="327" ht="38.25" customHeight="1">
      <c r="D327" s="74"/>
      <c r="E327" s="74"/>
    </row>
    <row r="328" ht="38.25" customHeight="1">
      <c r="D328" s="74"/>
      <c r="E328" s="74"/>
    </row>
    <row r="329" ht="38.25" customHeight="1">
      <c r="D329" s="74"/>
      <c r="E329" s="74"/>
    </row>
    <row r="330" ht="38.25" customHeight="1">
      <c r="D330" s="74"/>
      <c r="E330" s="74"/>
    </row>
    <row r="331" ht="38.25" customHeight="1">
      <c r="D331" s="74"/>
      <c r="E331" s="74"/>
    </row>
    <row r="332" ht="38.25" customHeight="1">
      <c r="D332" s="74"/>
      <c r="E332" s="74"/>
    </row>
    <row r="333" ht="38.25" customHeight="1">
      <c r="D333" s="74"/>
      <c r="E333" s="74"/>
    </row>
    <row r="334" ht="38.25" customHeight="1">
      <c r="D334" s="74"/>
      <c r="E334" s="74"/>
    </row>
    <row r="335" ht="38.25" customHeight="1">
      <c r="D335" s="74"/>
      <c r="E335" s="74"/>
    </row>
    <row r="336" ht="38.25" customHeight="1">
      <c r="D336" s="74"/>
      <c r="E336" s="74"/>
    </row>
    <row r="337" ht="38.25" customHeight="1">
      <c r="D337" s="74"/>
      <c r="E337" s="74"/>
    </row>
    <row r="338" ht="38.25" customHeight="1">
      <c r="D338" s="74"/>
      <c r="E338" s="74"/>
    </row>
    <row r="339" ht="38.25" customHeight="1">
      <c r="D339" s="74"/>
      <c r="E339" s="74"/>
    </row>
    <row r="340" ht="38.25" customHeight="1">
      <c r="D340" s="74"/>
      <c r="E340" s="74"/>
    </row>
    <row r="341" ht="38.25" customHeight="1">
      <c r="D341" s="74"/>
      <c r="E341" s="74"/>
    </row>
    <row r="342" ht="38.25" customHeight="1">
      <c r="D342" s="74"/>
      <c r="E342" s="74"/>
    </row>
    <row r="343" ht="38.25" customHeight="1">
      <c r="D343" s="74"/>
      <c r="E343" s="74"/>
    </row>
    <row r="344" ht="38.25" customHeight="1">
      <c r="D344" s="74"/>
      <c r="E344" s="74"/>
    </row>
    <row r="345" ht="38.25" customHeight="1">
      <c r="D345" s="74"/>
      <c r="E345" s="74"/>
    </row>
    <row r="346" ht="38.25" customHeight="1">
      <c r="D346" s="74"/>
      <c r="E346" s="74"/>
    </row>
    <row r="347" ht="38.25" customHeight="1">
      <c r="D347" s="74"/>
      <c r="E347" s="74"/>
    </row>
    <row r="348" ht="38.25" customHeight="1">
      <c r="D348" s="74"/>
      <c r="E348" s="74"/>
    </row>
    <row r="349" ht="38.25" customHeight="1">
      <c r="D349" s="74"/>
      <c r="E349" s="74"/>
    </row>
    <row r="350" ht="38.25" customHeight="1">
      <c r="D350" s="74"/>
      <c r="E350" s="74"/>
    </row>
    <row r="351" ht="38.25" customHeight="1">
      <c r="D351" s="74"/>
      <c r="E351" s="74"/>
    </row>
    <row r="352" ht="38.25" customHeight="1">
      <c r="D352" s="74"/>
      <c r="E352" s="74"/>
    </row>
    <row r="353" ht="38.25" customHeight="1">
      <c r="D353" s="74"/>
      <c r="E353" s="74"/>
    </row>
    <row r="354" ht="38.25" customHeight="1">
      <c r="D354" s="74"/>
      <c r="E354" s="74"/>
    </row>
    <row r="355" ht="38.25" customHeight="1">
      <c r="D355" s="74"/>
      <c r="E355" s="74"/>
    </row>
    <row r="356" ht="38.25" customHeight="1">
      <c r="D356" s="74"/>
      <c r="E356" s="74"/>
    </row>
    <row r="357" ht="38.25" customHeight="1">
      <c r="D357" s="74"/>
      <c r="E357" s="74"/>
    </row>
    <row r="358" ht="38.25" customHeight="1">
      <c r="D358" s="74"/>
      <c r="E358" s="74"/>
    </row>
    <row r="359" ht="38.25" customHeight="1">
      <c r="D359" s="74"/>
      <c r="E359" s="74"/>
    </row>
    <row r="360" ht="38.25" customHeight="1">
      <c r="D360" s="74"/>
      <c r="E360" s="74"/>
    </row>
    <row r="361" ht="38.25" customHeight="1">
      <c r="D361" s="74"/>
      <c r="E361" s="74"/>
    </row>
    <row r="362" ht="38.25" customHeight="1">
      <c r="D362" s="74"/>
      <c r="E362" s="74"/>
    </row>
    <row r="363" ht="38.25" customHeight="1">
      <c r="D363" s="74"/>
      <c r="E363" s="74"/>
    </row>
    <row r="364" ht="38.25" customHeight="1">
      <c r="D364" s="74"/>
      <c r="E364" s="74"/>
    </row>
    <row r="365" ht="38.25" customHeight="1">
      <c r="D365" s="74"/>
      <c r="E365" s="74"/>
    </row>
    <row r="366" ht="38.25" customHeight="1">
      <c r="D366" s="74"/>
      <c r="E366" s="74"/>
    </row>
    <row r="367" ht="38.25" customHeight="1">
      <c r="D367" s="74"/>
      <c r="E367" s="74"/>
    </row>
    <row r="368" ht="38.25" customHeight="1">
      <c r="D368" s="74"/>
      <c r="E368" s="74"/>
    </row>
    <row r="369" ht="38.25" customHeight="1">
      <c r="D369" s="74"/>
      <c r="E369" s="74"/>
    </row>
    <row r="370" ht="38.25" customHeight="1">
      <c r="D370" s="74"/>
      <c r="E370" s="74"/>
    </row>
    <row r="371" ht="38.25" customHeight="1">
      <c r="D371" s="74"/>
      <c r="E371" s="74"/>
    </row>
    <row r="372" ht="38.25" customHeight="1">
      <c r="D372" s="74"/>
      <c r="E372" s="74"/>
    </row>
    <row r="373" ht="38.25" customHeight="1">
      <c r="D373" s="74"/>
      <c r="E373" s="74"/>
    </row>
    <row r="374" ht="38.25" customHeight="1">
      <c r="D374" s="74"/>
      <c r="E374" s="74"/>
    </row>
    <row r="375" ht="38.25" customHeight="1">
      <c r="D375" s="74"/>
      <c r="E375" s="74"/>
    </row>
    <row r="376" ht="38.25" customHeight="1">
      <c r="D376" s="74"/>
      <c r="E376" s="74"/>
    </row>
    <row r="377" ht="38.25" customHeight="1">
      <c r="D377" s="74"/>
      <c r="E377" s="74"/>
    </row>
    <row r="378" ht="38.25" customHeight="1">
      <c r="D378" s="74"/>
      <c r="E378" s="74"/>
    </row>
    <row r="379" ht="38.25" customHeight="1">
      <c r="D379" s="74"/>
      <c r="E379" s="74"/>
    </row>
    <row r="380" ht="38.25" customHeight="1">
      <c r="D380" s="74"/>
      <c r="E380" s="74"/>
    </row>
    <row r="381" ht="38.25" customHeight="1">
      <c r="D381" s="74"/>
      <c r="E381" s="74"/>
    </row>
    <row r="382" ht="38.25" customHeight="1">
      <c r="D382" s="74"/>
      <c r="E382" s="74"/>
    </row>
    <row r="383" ht="38.25" customHeight="1">
      <c r="D383" s="74"/>
      <c r="E383" s="74"/>
    </row>
    <row r="384" ht="38.25" customHeight="1">
      <c r="D384" s="74"/>
      <c r="E384" s="74"/>
    </row>
    <row r="385" ht="38.25" customHeight="1">
      <c r="D385" s="74"/>
      <c r="E385" s="74"/>
    </row>
    <row r="386" ht="38.25" customHeight="1">
      <c r="D386" s="74"/>
      <c r="E386" s="74"/>
    </row>
    <row r="387" ht="38.25" customHeight="1">
      <c r="D387" s="74"/>
      <c r="E387" s="74"/>
    </row>
    <row r="388" ht="38.25" customHeight="1">
      <c r="D388" s="74"/>
      <c r="E388" s="74"/>
    </row>
    <row r="389" ht="38.25" customHeight="1">
      <c r="D389" s="74"/>
      <c r="E389" s="74"/>
    </row>
    <row r="390" ht="38.25" customHeight="1">
      <c r="D390" s="74"/>
      <c r="E390" s="74"/>
    </row>
    <row r="391" ht="38.25" customHeight="1">
      <c r="D391" s="74"/>
      <c r="E391" s="74"/>
    </row>
    <row r="392" ht="38.25" customHeight="1">
      <c r="D392" s="74"/>
      <c r="E392" s="74"/>
    </row>
    <row r="393" ht="38.25" customHeight="1">
      <c r="D393" s="74"/>
      <c r="E393" s="74"/>
    </row>
    <row r="394" ht="38.25" customHeight="1">
      <c r="D394" s="74"/>
      <c r="E394" s="74"/>
    </row>
    <row r="395" ht="38.25" customHeight="1">
      <c r="D395" s="74"/>
      <c r="E395" s="74"/>
    </row>
    <row r="396" ht="38.25" customHeight="1">
      <c r="D396" s="74"/>
      <c r="E396" s="74"/>
    </row>
    <row r="397" ht="38.25" customHeight="1">
      <c r="D397" s="74"/>
      <c r="E397" s="74"/>
    </row>
    <row r="398" ht="38.25" customHeight="1">
      <c r="D398" s="74"/>
      <c r="E398" s="74"/>
    </row>
    <row r="399" ht="38.25" customHeight="1">
      <c r="D399" s="74"/>
      <c r="E399" s="74"/>
    </row>
    <row r="400" ht="38.25" customHeight="1">
      <c r="D400" s="74"/>
      <c r="E400" s="74"/>
    </row>
    <row r="401" ht="38.25" customHeight="1">
      <c r="D401" s="74"/>
      <c r="E401" s="74"/>
    </row>
    <row r="402" ht="38.25" customHeight="1">
      <c r="D402" s="74"/>
      <c r="E402" s="74"/>
    </row>
    <row r="403" ht="38.25" customHeight="1">
      <c r="D403" s="74"/>
      <c r="E403" s="74"/>
    </row>
    <row r="404" ht="38.25" customHeight="1">
      <c r="D404" s="74"/>
      <c r="E404" s="74"/>
    </row>
    <row r="405" ht="38.25" customHeight="1">
      <c r="D405" s="74"/>
      <c r="E405" s="74"/>
    </row>
    <row r="406" ht="38.25" customHeight="1">
      <c r="D406" s="74"/>
      <c r="E406" s="74"/>
    </row>
    <row r="407" ht="38.25" customHeight="1">
      <c r="D407" s="74"/>
      <c r="E407" s="74"/>
    </row>
    <row r="408" ht="38.25" customHeight="1">
      <c r="D408" s="74"/>
      <c r="E408" s="74"/>
    </row>
    <row r="409" ht="38.25" customHeight="1">
      <c r="D409" s="74"/>
      <c r="E409" s="74"/>
    </row>
    <row r="410" ht="38.25" customHeight="1">
      <c r="D410" s="74"/>
      <c r="E410" s="74"/>
    </row>
    <row r="411" ht="38.25" customHeight="1">
      <c r="D411" s="74"/>
      <c r="E411" s="74"/>
    </row>
    <row r="412" ht="38.25" customHeight="1">
      <c r="D412" s="74"/>
      <c r="E412" s="74"/>
    </row>
    <row r="413" ht="38.25" customHeight="1">
      <c r="D413" s="74"/>
      <c r="E413" s="74"/>
    </row>
    <row r="414" ht="38.25" customHeight="1">
      <c r="D414" s="74"/>
      <c r="E414" s="74"/>
    </row>
    <row r="415" ht="38.25" customHeight="1">
      <c r="D415" s="74"/>
      <c r="E415" s="74"/>
    </row>
    <row r="416" ht="38.25" customHeight="1">
      <c r="D416" s="74"/>
      <c r="E416" s="74"/>
    </row>
    <row r="417" ht="38.25" customHeight="1">
      <c r="D417" s="74"/>
      <c r="E417" s="74"/>
    </row>
    <row r="418" ht="38.25" customHeight="1">
      <c r="D418" s="74"/>
      <c r="E418" s="74"/>
    </row>
    <row r="419" ht="38.25" customHeight="1">
      <c r="D419" s="74"/>
      <c r="E419" s="74"/>
    </row>
    <row r="420" ht="38.25" customHeight="1">
      <c r="D420" s="74"/>
      <c r="E420" s="74"/>
    </row>
    <row r="421" ht="38.25" customHeight="1">
      <c r="D421" s="74"/>
      <c r="E421" s="74"/>
    </row>
    <row r="422" ht="38.25" customHeight="1">
      <c r="D422" s="74"/>
      <c r="E422" s="74"/>
    </row>
    <row r="423" ht="38.25" customHeight="1">
      <c r="D423" s="74"/>
      <c r="E423" s="74"/>
    </row>
    <row r="424" ht="38.25" customHeight="1">
      <c r="D424" s="74"/>
      <c r="E424" s="74"/>
    </row>
    <row r="425" ht="38.25" customHeight="1">
      <c r="D425" s="74"/>
      <c r="E425" s="74"/>
    </row>
    <row r="426" ht="38.25" customHeight="1">
      <c r="D426" s="74"/>
      <c r="E426" s="74"/>
    </row>
    <row r="427" ht="38.25" customHeight="1">
      <c r="D427" s="74"/>
      <c r="E427" s="74"/>
    </row>
    <row r="428" ht="38.25" customHeight="1">
      <c r="D428" s="74"/>
      <c r="E428" s="74"/>
    </row>
    <row r="429" ht="38.25" customHeight="1">
      <c r="D429" s="74"/>
      <c r="E429" s="74"/>
    </row>
    <row r="430" ht="38.25" customHeight="1">
      <c r="D430" s="74"/>
      <c r="E430" s="74"/>
    </row>
    <row r="431" ht="38.25" customHeight="1">
      <c r="D431" s="74"/>
      <c r="E431" s="74"/>
    </row>
    <row r="432" ht="38.25" customHeight="1">
      <c r="D432" s="74"/>
      <c r="E432" s="74"/>
    </row>
    <row r="433" ht="38.25" customHeight="1">
      <c r="D433" s="74"/>
      <c r="E433" s="74"/>
    </row>
    <row r="434" ht="38.25" customHeight="1">
      <c r="D434" s="74"/>
      <c r="E434" s="74"/>
    </row>
    <row r="435" ht="38.25" customHeight="1">
      <c r="D435" s="74"/>
      <c r="E435" s="74"/>
    </row>
    <row r="436" ht="38.25" customHeight="1">
      <c r="D436" s="74"/>
      <c r="E436" s="74"/>
    </row>
    <row r="437" ht="38.25" customHeight="1">
      <c r="D437" s="74"/>
      <c r="E437" s="74"/>
    </row>
    <row r="438" ht="38.25" customHeight="1">
      <c r="D438" s="74"/>
      <c r="E438" s="74"/>
    </row>
    <row r="439" ht="38.25" customHeight="1">
      <c r="D439" s="74"/>
      <c r="E439" s="74"/>
    </row>
    <row r="440" ht="38.25" customHeight="1">
      <c r="D440" s="74"/>
      <c r="E440" s="74"/>
    </row>
    <row r="441" ht="38.25" customHeight="1">
      <c r="D441" s="74"/>
      <c r="E441" s="74"/>
    </row>
    <row r="442" ht="38.25" customHeight="1">
      <c r="D442" s="74"/>
      <c r="E442" s="74"/>
    </row>
    <row r="443" ht="38.25" customHeight="1">
      <c r="D443" s="74"/>
      <c r="E443" s="74"/>
    </row>
    <row r="444" ht="38.25" customHeight="1">
      <c r="D444" s="74"/>
      <c r="E444" s="74"/>
    </row>
    <row r="445" ht="38.25" customHeight="1">
      <c r="D445" s="74"/>
      <c r="E445" s="74"/>
    </row>
    <row r="446" ht="38.25" customHeight="1">
      <c r="D446" s="74"/>
      <c r="E446" s="74"/>
    </row>
    <row r="447" ht="38.25" customHeight="1">
      <c r="D447" s="74"/>
      <c r="E447" s="74"/>
    </row>
    <row r="448" ht="38.25" customHeight="1">
      <c r="D448" s="74"/>
      <c r="E448" s="74"/>
    </row>
    <row r="449" ht="38.25" customHeight="1">
      <c r="D449" s="74"/>
      <c r="E449" s="74"/>
    </row>
    <row r="450" ht="38.25" customHeight="1">
      <c r="D450" s="74"/>
      <c r="E450" s="74"/>
    </row>
    <row r="451" ht="38.25" customHeight="1">
      <c r="D451" s="74"/>
      <c r="E451" s="74"/>
    </row>
    <row r="452" ht="38.25" customHeight="1">
      <c r="D452" s="74"/>
      <c r="E452" s="74"/>
    </row>
    <row r="453" ht="38.25" customHeight="1">
      <c r="D453" s="74"/>
      <c r="E453" s="74"/>
    </row>
    <row r="454" ht="38.25" customHeight="1">
      <c r="D454" s="74"/>
      <c r="E454" s="74"/>
    </row>
    <row r="455" ht="38.25" customHeight="1">
      <c r="D455" s="74"/>
      <c r="E455" s="74"/>
    </row>
    <row r="456" ht="38.25" customHeight="1">
      <c r="D456" s="74"/>
      <c r="E456" s="74"/>
    </row>
    <row r="457" ht="38.25" customHeight="1">
      <c r="D457" s="74"/>
      <c r="E457" s="74"/>
    </row>
    <row r="458" ht="38.25" customHeight="1">
      <c r="D458" s="74"/>
      <c r="E458" s="74"/>
    </row>
    <row r="459" ht="38.25" customHeight="1">
      <c r="D459" s="74"/>
      <c r="E459" s="74"/>
    </row>
    <row r="460" ht="38.25" customHeight="1">
      <c r="D460" s="74"/>
      <c r="E460" s="74"/>
    </row>
    <row r="461" ht="38.25" customHeight="1">
      <c r="D461" s="74"/>
      <c r="E461" s="74"/>
    </row>
    <row r="462" ht="38.25" customHeight="1">
      <c r="D462" s="74"/>
      <c r="E462" s="74"/>
    </row>
    <row r="463" ht="38.25" customHeight="1">
      <c r="D463" s="74"/>
      <c r="E463" s="74"/>
    </row>
    <row r="464" ht="38.25" customHeight="1">
      <c r="D464" s="74"/>
      <c r="E464" s="74"/>
    </row>
    <row r="465" ht="38.25" customHeight="1">
      <c r="D465" s="74"/>
      <c r="E465" s="74"/>
    </row>
    <row r="466" ht="38.25" customHeight="1">
      <c r="D466" s="74"/>
      <c r="E466" s="74"/>
    </row>
    <row r="467" ht="38.25" customHeight="1">
      <c r="D467" s="74"/>
      <c r="E467" s="74"/>
    </row>
    <row r="468" ht="38.25" customHeight="1">
      <c r="D468" s="74"/>
      <c r="E468" s="74"/>
    </row>
    <row r="469" ht="38.25" customHeight="1">
      <c r="D469" s="74"/>
      <c r="E469" s="74"/>
    </row>
    <row r="470" ht="38.25" customHeight="1">
      <c r="D470" s="74"/>
      <c r="E470" s="74"/>
    </row>
    <row r="471" ht="38.25" customHeight="1">
      <c r="D471" s="74"/>
      <c r="E471" s="74"/>
    </row>
    <row r="472" ht="38.25" customHeight="1">
      <c r="D472" s="74"/>
      <c r="E472" s="74"/>
    </row>
    <row r="473" ht="38.25" customHeight="1">
      <c r="D473" s="74"/>
      <c r="E473" s="74"/>
    </row>
    <row r="474" ht="38.25" customHeight="1">
      <c r="D474" s="74"/>
      <c r="E474" s="74"/>
    </row>
    <row r="475" ht="38.25" customHeight="1">
      <c r="D475" s="74"/>
      <c r="E475" s="74"/>
    </row>
    <row r="476" ht="38.25" customHeight="1">
      <c r="D476" s="74"/>
      <c r="E476" s="74"/>
    </row>
    <row r="477" ht="38.25" customHeight="1">
      <c r="D477" s="74"/>
      <c r="E477" s="74"/>
    </row>
    <row r="478" ht="38.25" customHeight="1">
      <c r="D478" s="74"/>
      <c r="E478" s="74"/>
    </row>
    <row r="479" ht="38.25" customHeight="1">
      <c r="D479" s="74"/>
      <c r="E479" s="74"/>
    </row>
    <row r="480" ht="38.25" customHeight="1">
      <c r="D480" s="74"/>
      <c r="E480" s="74"/>
    </row>
    <row r="481" ht="38.25" customHeight="1">
      <c r="D481" s="74"/>
      <c r="E481" s="74"/>
    </row>
    <row r="482" ht="38.25" customHeight="1">
      <c r="D482" s="74"/>
      <c r="E482" s="74"/>
    </row>
    <row r="483" ht="38.25" customHeight="1">
      <c r="D483" s="74"/>
      <c r="E483" s="74"/>
    </row>
    <row r="484" ht="38.25" customHeight="1">
      <c r="D484" s="74"/>
      <c r="E484" s="74"/>
    </row>
    <row r="485" ht="38.25" customHeight="1">
      <c r="D485" s="74"/>
      <c r="E485" s="74"/>
    </row>
    <row r="486" ht="38.25" customHeight="1">
      <c r="D486" s="74"/>
      <c r="E486" s="74"/>
    </row>
    <row r="487" ht="38.25" customHeight="1">
      <c r="D487" s="74"/>
      <c r="E487" s="74"/>
    </row>
    <row r="488" ht="38.25" customHeight="1">
      <c r="D488" s="74"/>
      <c r="E488" s="74"/>
    </row>
    <row r="489" ht="38.25" customHeight="1">
      <c r="D489" s="74"/>
      <c r="E489" s="74"/>
    </row>
    <row r="490" ht="38.25" customHeight="1">
      <c r="D490" s="74"/>
      <c r="E490" s="74"/>
    </row>
    <row r="491" ht="38.25" customHeight="1">
      <c r="D491" s="74"/>
      <c r="E491" s="74"/>
    </row>
    <row r="492" ht="38.25" customHeight="1">
      <c r="D492" s="74"/>
      <c r="E492" s="74"/>
    </row>
    <row r="493" ht="38.25" customHeight="1">
      <c r="D493" s="74"/>
      <c r="E493" s="74"/>
    </row>
    <row r="494" ht="38.25" customHeight="1">
      <c r="D494" s="74"/>
      <c r="E494" s="74"/>
    </row>
    <row r="495" ht="38.25" customHeight="1">
      <c r="D495" s="74"/>
      <c r="E495" s="74"/>
    </row>
    <row r="496" ht="38.25" customHeight="1">
      <c r="D496" s="74"/>
      <c r="E496" s="74"/>
    </row>
    <row r="497" ht="38.25" customHeight="1">
      <c r="D497" s="74"/>
      <c r="E497" s="74"/>
    </row>
    <row r="498" ht="38.25" customHeight="1">
      <c r="D498" s="74"/>
      <c r="E498" s="74"/>
    </row>
    <row r="499" ht="38.25" customHeight="1">
      <c r="D499" s="74"/>
      <c r="E499" s="74"/>
    </row>
    <row r="500" ht="38.25" customHeight="1">
      <c r="D500" s="74"/>
      <c r="E500" s="74"/>
    </row>
    <row r="501" ht="38.25" customHeight="1">
      <c r="D501" s="74"/>
      <c r="E501" s="74"/>
    </row>
    <row r="502" ht="38.25" customHeight="1">
      <c r="D502" s="74"/>
      <c r="E502" s="74"/>
    </row>
    <row r="503" ht="38.25" customHeight="1">
      <c r="D503" s="74"/>
      <c r="E503" s="74"/>
    </row>
    <row r="504" ht="38.25" customHeight="1">
      <c r="D504" s="74"/>
      <c r="E504" s="74"/>
    </row>
    <row r="505" ht="38.25" customHeight="1">
      <c r="D505" s="74"/>
      <c r="E505" s="74"/>
    </row>
    <row r="506" ht="38.25" customHeight="1">
      <c r="D506" s="74"/>
      <c r="E506" s="74"/>
    </row>
    <row r="507" ht="38.25" customHeight="1">
      <c r="D507" s="74"/>
      <c r="E507" s="74"/>
    </row>
    <row r="508" ht="38.25" customHeight="1">
      <c r="D508" s="74"/>
      <c r="E508" s="74"/>
    </row>
    <row r="509" ht="38.25" customHeight="1">
      <c r="D509" s="74"/>
      <c r="E509" s="74"/>
    </row>
    <row r="510" ht="38.25" customHeight="1">
      <c r="D510" s="74"/>
      <c r="E510" s="74"/>
    </row>
    <row r="511" ht="38.25" customHeight="1">
      <c r="D511" s="74"/>
      <c r="E511" s="74"/>
    </row>
    <row r="512" ht="38.25" customHeight="1">
      <c r="D512" s="74"/>
      <c r="E512" s="74"/>
    </row>
    <row r="513" ht="38.25" customHeight="1">
      <c r="D513" s="74"/>
      <c r="E513" s="74"/>
    </row>
    <row r="514" ht="38.25" customHeight="1">
      <c r="D514" s="74"/>
      <c r="E514" s="74"/>
    </row>
    <row r="515" ht="38.25" customHeight="1">
      <c r="D515" s="74"/>
      <c r="E515" s="74"/>
    </row>
    <row r="516" ht="38.25" customHeight="1">
      <c r="D516" s="74"/>
      <c r="E516" s="74"/>
    </row>
    <row r="517" ht="38.25" customHeight="1">
      <c r="D517" s="74"/>
      <c r="E517" s="74"/>
    </row>
    <row r="518" ht="38.25" customHeight="1">
      <c r="D518" s="74"/>
      <c r="E518" s="74"/>
    </row>
    <row r="519" ht="38.25" customHeight="1">
      <c r="D519" s="74"/>
      <c r="E519" s="74"/>
    </row>
    <row r="520" ht="38.25" customHeight="1">
      <c r="D520" s="74"/>
      <c r="E520" s="74"/>
    </row>
    <row r="521" ht="38.25" customHeight="1">
      <c r="D521" s="74"/>
      <c r="E521" s="74"/>
    </row>
    <row r="522" ht="38.25" customHeight="1">
      <c r="D522" s="74"/>
      <c r="E522" s="74"/>
    </row>
    <row r="523" ht="38.25" customHeight="1">
      <c r="D523" s="74"/>
      <c r="E523" s="74"/>
    </row>
    <row r="524" ht="38.25" customHeight="1">
      <c r="D524" s="74"/>
      <c r="E524" s="74"/>
    </row>
    <row r="525" ht="38.25" customHeight="1">
      <c r="D525" s="74"/>
      <c r="E525" s="74"/>
    </row>
    <row r="526" ht="38.25" customHeight="1">
      <c r="D526" s="74"/>
      <c r="E526" s="74"/>
    </row>
    <row r="527" ht="38.25" customHeight="1">
      <c r="D527" s="74"/>
      <c r="E527" s="74"/>
    </row>
    <row r="528" ht="38.25" customHeight="1">
      <c r="D528" s="74"/>
      <c r="E528" s="74"/>
    </row>
    <row r="529" ht="38.25" customHeight="1">
      <c r="D529" s="74"/>
      <c r="E529" s="74"/>
    </row>
    <row r="530" ht="38.25" customHeight="1">
      <c r="D530" s="74"/>
      <c r="E530" s="74"/>
    </row>
    <row r="531" ht="38.25" customHeight="1">
      <c r="D531" s="74"/>
      <c r="E531" s="74"/>
    </row>
    <row r="532" ht="38.25" customHeight="1">
      <c r="D532" s="74"/>
      <c r="E532" s="74"/>
    </row>
    <row r="533" ht="38.25" customHeight="1">
      <c r="D533" s="74"/>
      <c r="E533" s="74"/>
    </row>
    <row r="534" ht="38.25" customHeight="1">
      <c r="D534" s="74"/>
      <c r="E534" s="74"/>
    </row>
    <row r="535" ht="38.25" customHeight="1">
      <c r="D535" s="74"/>
      <c r="E535" s="74"/>
    </row>
    <row r="536" ht="38.25" customHeight="1">
      <c r="D536" s="74"/>
      <c r="E536" s="74"/>
    </row>
    <row r="537" ht="38.25" customHeight="1">
      <c r="D537" s="74"/>
      <c r="E537" s="74"/>
    </row>
    <row r="538" ht="38.25" customHeight="1">
      <c r="D538" s="74"/>
      <c r="E538" s="74"/>
    </row>
    <row r="539" ht="38.25" customHeight="1">
      <c r="D539" s="74"/>
      <c r="E539" s="74"/>
    </row>
    <row r="540" ht="38.25" customHeight="1">
      <c r="D540" s="74"/>
      <c r="E540" s="74"/>
    </row>
    <row r="541" ht="38.25" customHeight="1">
      <c r="D541" s="74"/>
      <c r="E541" s="74"/>
    </row>
    <row r="542" ht="38.25" customHeight="1">
      <c r="D542" s="74"/>
      <c r="E542" s="74"/>
    </row>
    <row r="543" ht="38.25" customHeight="1">
      <c r="D543" s="74"/>
      <c r="E543" s="74"/>
    </row>
    <row r="544" ht="38.25" customHeight="1">
      <c r="D544" s="74"/>
      <c r="E544" s="74"/>
    </row>
    <row r="545" ht="38.25" customHeight="1">
      <c r="D545" s="74"/>
      <c r="E545" s="74"/>
    </row>
    <row r="546" ht="38.25" customHeight="1">
      <c r="D546" s="74"/>
      <c r="E546" s="74"/>
    </row>
    <row r="547" ht="38.25" customHeight="1">
      <c r="D547" s="74"/>
      <c r="E547" s="74"/>
    </row>
    <row r="548" ht="38.25" customHeight="1">
      <c r="D548" s="74"/>
      <c r="E548" s="74"/>
    </row>
    <row r="549" ht="38.25" customHeight="1">
      <c r="D549" s="74"/>
      <c r="E549" s="74"/>
    </row>
    <row r="550" ht="38.25" customHeight="1">
      <c r="D550" s="74"/>
      <c r="E550" s="74"/>
    </row>
    <row r="551" ht="38.25" customHeight="1">
      <c r="D551" s="74"/>
      <c r="E551" s="74"/>
    </row>
    <row r="552" ht="38.25" customHeight="1">
      <c r="D552" s="74"/>
      <c r="E552" s="74"/>
    </row>
    <row r="553" ht="38.25" customHeight="1">
      <c r="D553" s="74"/>
      <c r="E553" s="74"/>
    </row>
    <row r="554" ht="38.25" customHeight="1">
      <c r="D554" s="74"/>
      <c r="E554" s="74"/>
    </row>
    <row r="555" ht="38.25" customHeight="1">
      <c r="D555" s="74"/>
      <c r="E555" s="74"/>
    </row>
    <row r="556" ht="38.25" customHeight="1">
      <c r="D556" s="74"/>
      <c r="E556" s="74"/>
    </row>
    <row r="557" ht="38.25" customHeight="1">
      <c r="D557" s="74"/>
      <c r="E557" s="74"/>
    </row>
    <row r="558" ht="38.25" customHeight="1">
      <c r="D558" s="74"/>
      <c r="E558" s="74"/>
    </row>
    <row r="559" ht="38.25" customHeight="1">
      <c r="D559" s="74"/>
      <c r="E559" s="74"/>
    </row>
    <row r="560" ht="38.25" customHeight="1">
      <c r="D560" s="74"/>
      <c r="E560" s="74"/>
    </row>
    <row r="561" ht="38.25" customHeight="1">
      <c r="D561" s="74"/>
      <c r="E561" s="74"/>
    </row>
    <row r="562" ht="38.25" customHeight="1">
      <c r="D562" s="74"/>
      <c r="E562" s="74"/>
    </row>
    <row r="563" ht="38.25" customHeight="1">
      <c r="D563" s="74"/>
      <c r="E563" s="74"/>
    </row>
    <row r="564" ht="38.25" customHeight="1">
      <c r="D564" s="74"/>
      <c r="E564" s="74"/>
    </row>
    <row r="565" ht="38.25" customHeight="1">
      <c r="D565" s="74"/>
      <c r="E565" s="74"/>
    </row>
    <row r="566" ht="38.25" customHeight="1">
      <c r="D566" s="74"/>
      <c r="E566" s="74"/>
    </row>
    <row r="567" ht="38.25" customHeight="1">
      <c r="D567" s="74"/>
      <c r="E567" s="74"/>
    </row>
    <row r="568" ht="38.25" customHeight="1">
      <c r="D568" s="74"/>
      <c r="E568" s="74"/>
    </row>
    <row r="569" ht="38.25" customHeight="1">
      <c r="D569" s="74"/>
      <c r="E569" s="74"/>
    </row>
    <row r="570" ht="38.25" customHeight="1">
      <c r="D570" s="74"/>
      <c r="E570" s="74"/>
    </row>
    <row r="571" ht="38.25" customHeight="1">
      <c r="D571" s="74"/>
      <c r="E571" s="74"/>
    </row>
    <row r="572" ht="38.25" customHeight="1">
      <c r="D572" s="74"/>
      <c r="E572" s="74"/>
    </row>
    <row r="573" ht="38.25" customHeight="1">
      <c r="D573" s="74"/>
      <c r="E573" s="74"/>
    </row>
    <row r="574" ht="38.25" customHeight="1">
      <c r="D574" s="74"/>
      <c r="E574" s="74"/>
    </row>
    <row r="575" ht="38.25" customHeight="1">
      <c r="D575" s="74"/>
      <c r="E575" s="74"/>
    </row>
    <row r="576" ht="38.25" customHeight="1">
      <c r="D576" s="74"/>
      <c r="E576" s="74"/>
    </row>
    <row r="577" ht="38.25" customHeight="1">
      <c r="D577" s="74"/>
      <c r="E577" s="74"/>
    </row>
    <row r="578" ht="38.25" customHeight="1">
      <c r="D578" s="74"/>
      <c r="E578" s="74"/>
    </row>
    <row r="579" ht="38.25" customHeight="1">
      <c r="D579" s="74"/>
      <c r="E579" s="74"/>
    </row>
    <row r="580" ht="38.25" customHeight="1">
      <c r="D580" s="74"/>
      <c r="E580" s="74"/>
    </row>
    <row r="581" ht="38.25" customHeight="1">
      <c r="D581" s="74"/>
      <c r="E581" s="74"/>
    </row>
    <row r="582" ht="38.25" customHeight="1">
      <c r="D582" s="74"/>
      <c r="E582" s="74"/>
    </row>
    <row r="583" ht="38.25" customHeight="1">
      <c r="D583" s="74"/>
      <c r="E583" s="74"/>
    </row>
    <row r="584" ht="38.25" customHeight="1">
      <c r="D584" s="74"/>
      <c r="E584" s="74"/>
    </row>
    <row r="585" ht="38.25" customHeight="1">
      <c r="D585" s="74"/>
      <c r="E585" s="74"/>
    </row>
    <row r="586" ht="38.25" customHeight="1">
      <c r="D586" s="74"/>
      <c r="E586" s="74"/>
    </row>
    <row r="587" ht="38.25" customHeight="1">
      <c r="D587" s="74"/>
      <c r="E587" s="74"/>
    </row>
    <row r="588" ht="38.25" customHeight="1">
      <c r="D588" s="74"/>
      <c r="E588" s="74"/>
    </row>
    <row r="589" ht="38.25" customHeight="1">
      <c r="D589" s="74"/>
      <c r="E589" s="74"/>
    </row>
    <row r="590" ht="38.25" customHeight="1">
      <c r="D590" s="74"/>
      <c r="E590" s="74"/>
    </row>
    <row r="591" ht="38.25" customHeight="1">
      <c r="D591" s="74"/>
      <c r="E591" s="74"/>
    </row>
    <row r="592" ht="38.25" customHeight="1">
      <c r="D592" s="74"/>
      <c r="E592" s="74"/>
    </row>
    <row r="593" ht="38.25" customHeight="1">
      <c r="D593" s="74"/>
      <c r="E593" s="74"/>
    </row>
    <row r="594" ht="38.25" customHeight="1">
      <c r="D594" s="74"/>
      <c r="E594" s="74"/>
    </row>
    <row r="595" ht="38.25" customHeight="1">
      <c r="D595" s="74"/>
      <c r="E595" s="74"/>
    </row>
    <row r="596" ht="38.25" customHeight="1">
      <c r="D596" s="74"/>
      <c r="E596" s="74"/>
    </row>
    <row r="597" ht="38.25" customHeight="1">
      <c r="D597" s="74"/>
      <c r="E597" s="74"/>
    </row>
    <row r="598" ht="38.25" customHeight="1">
      <c r="D598" s="74"/>
      <c r="E598" s="74"/>
    </row>
    <row r="599" ht="38.25" customHeight="1">
      <c r="D599" s="74"/>
      <c r="E599" s="74"/>
    </row>
    <row r="600" ht="38.25" customHeight="1">
      <c r="D600" s="74"/>
      <c r="E600" s="74"/>
    </row>
    <row r="601" ht="38.25" customHeight="1">
      <c r="D601" s="74"/>
      <c r="E601" s="74"/>
    </row>
    <row r="602" ht="38.25" customHeight="1">
      <c r="D602" s="74"/>
      <c r="E602" s="74"/>
    </row>
    <row r="603" ht="38.25" customHeight="1">
      <c r="D603" s="74"/>
      <c r="E603" s="74"/>
    </row>
    <row r="604" ht="38.25" customHeight="1">
      <c r="D604" s="74"/>
      <c r="E604" s="74"/>
    </row>
    <row r="605" ht="38.25" customHeight="1">
      <c r="D605" s="74"/>
      <c r="E605" s="74"/>
    </row>
    <row r="606" ht="38.25" customHeight="1">
      <c r="D606" s="74"/>
      <c r="E606" s="74"/>
    </row>
    <row r="607" ht="38.25" customHeight="1">
      <c r="D607" s="74"/>
      <c r="E607" s="74"/>
    </row>
    <row r="608" ht="38.25" customHeight="1">
      <c r="D608" s="74"/>
      <c r="E608" s="74"/>
    </row>
    <row r="609" ht="38.25" customHeight="1">
      <c r="D609" s="74"/>
      <c r="E609" s="74"/>
    </row>
    <row r="610" ht="38.25" customHeight="1">
      <c r="D610" s="74"/>
      <c r="E610" s="74"/>
    </row>
    <row r="611" ht="38.25" customHeight="1">
      <c r="D611" s="74"/>
      <c r="E611" s="74"/>
    </row>
    <row r="612" ht="38.25" customHeight="1">
      <c r="D612" s="74"/>
      <c r="E612" s="74"/>
    </row>
    <row r="613" ht="38.25" customHeight="1">
      <c r="D613" s="74"/>
      <c r="E613" s="74"/>
    </row>
    <row r="614" ht="38.25" customHeight="1">
      <c r="D614" s="74"/>
      <c r="E614" s="74"/>
    </row>
    <row r="615" ht="38.25" customHeight="1">
      <c r="D615" s="74"/>
      <c r="E615" s="74"/>
    </row>
    <row r="616" ht="38.25" customHeight="1">
      <c r="D616" s="74"/>
      <c r="E616" s="74"/>
    </row>
    <row r="617" ht="38.25" customHeight="1">
      <c r="D617" s="74"/>
      <c r="E617" s="74"/>
    </row>
    <row r="618" ht="38.25" customHeight="1">
      <c r="D618" s="74"/>
      <c r="E618" s="74"/>
    </row>
    <row r="619" ht="38.25" customHeight="1">
      <c r="D619" s="74"/>
      <c r="E619" s="74"/>
    </row>
    <row r="620" ht="38.25" customHeight="1">
      <c r="D620" s="74"/>
      <c r="E620" s="74"/>
    </row>
    <row r="621" ht="38.25" customHeight="1">
      <c r="D621" s="74"/>
      <c r="E621" s="74"/>
    </row>
    <row r="622" ht="38.25" customHeight="1">
      <c r="D622" s="74"/>
      <c r="E622" s="74"/>
    </row>
    <row r="623" ht="38.25" customHeight="1">
      <c r="D623" s="74"/>
      <c r="E623" s="74"/>
    </row>
    <row r="624" ht="38.25" customHeight="1">
      <c r="D624" s="74"/>
      <c r="E624" s="74"/>
    </row>
    <row r="625" ht="38.25" customHeight="1">
      <c r="D625" s="74"/>
      <c r="E625" s="74"/>
    </row>
    <row r="626" ht="38.25" customHeight="1">
      <c r="D626" s="74"/>
      <c r="E626" s="74"/>
    </row>
    <row r="627" ht="38.25" customHeight="1">
      <c r="D627" s="74"/>
      <c r="E627" s="74"/>
    </row>
    <row r="628" ht="38.25" customHeight="1">
      <c r="D628" s="74"/>
      <c r="E628" s="74"/>
    </row>
    <row r="629" ht="38.25" customHeight="1">
      <c r="D629" s="74"/>
      <c r="E629" s="74"/>
    </row>
    <row r="630" ht="38.25" customHeight="1">
      <c r="D630" s="74"/>
      <c r="E630" s="74"/>
    </row>
    <row r="631" ht="38.25" customHeight="1">
      <c r="D631" s="74"/>
      <c r="E631" s="74"/>
    </row>
    <row r="632" ht="38.25" customHeight="1">
      <c r="D632" s="74"/>
      <c r="E632" s="74"/>
    </row>
    <row r="633" ht="38.25" customHeight="1">
      <c r="D633" s="74"/>
      <c r="E633" s="74"/>
    </row>
    <row r="634" ht="38.25" customHeight="1">
      <c r="D634" s="74"/>
      <c r="E634" s="74"/>
    </row>
    <row r="635" ht="38.25" customHeight="1">
      <c r="D635" s="74"/>
      <c r="E635" s="74"/>
    </row>
    <row r="636" ht="38.25" customHeight="1">
      <c r="D636" s="74"/>
      <c r="E636" s="74"/>
    </row>
    <row r="637" ht="38.25" customHeight="1">
      <c r="D637" s="74"/>
      <c r="E637" s="74"/>
    </row>
    <row r="638" ht="38.25" customHeight="1">
      <c r="D638" s="74"/>
      <c r="E638" s="74"/>
    </row>
    <row r="639" ht="38.25" customHeight="1">
      <c r="D639" s="74"/>
      <c r="E639" s="74"/>
    </row>
    <row r="640" ht="38.25" customHeight="1">
      <c r="D640" s="74"/>
      <c r="E640" s="74"/>
    </row>
    <row r="641" ht="38.25" customHeight="1">
      <c r="D641" s="74"/>
      <c r="E641" s="74"/>
    </row>
    <row r="642" ht="38.25" customHeight="1">
      <c r="D642" s="74"/>
      <c r="E642" s="74"/>
    </row>
    <row r="643" ht="38.25" customHeight="1">
      <c r="D643" s="74"/>
      <c r="E643" s="74"/>
    </row>
    <row r="644" ht="38.25" customHeight="1">
      <c r="D644" s="74"/>
      <c r="E644" s="74"/>
    </row>
    <row r="645" ht="38.25" customHeight="1">
      <c r="D645" s="74"/>
      <c r="E645" s="74"/>
    </row>
    <row r="646" ht="38.25" customHeight="1">
      <c r="D646" s="74"/>
      <c r="E646" s="74"/>
    </row>
    <row r="647" ht="38.25" customHeight="1">
      <c r="D647" s="74"/>
      <c r="E647" s="74"/>
    </row>
    <row r="648" ht="38.25" customHeight="1">
      <c r="D648" s="74"/>
      <c r="E648" s="74"/>
    </row>
    <row r="649" ht="38.25" customHeight="1">
      <c r="D649" s="74"/>
      <c r="E649" s="74"/>
    </row>
    <row r="650" ht="38.25" customHeight="1">
      <c r="D650" s="74"/>
      <c r="E650" s="74"/>
    </row>
    <row r="651" ht="38.25" customHeight="1">
      <c r="D651" s="74"/>
      <c r="E651" s="74"/>
    </row>
    <row r="652" ht="38.25" customHeight="1">
      <c r="D652" s="74"/>
      <c r="E652" s="74"/>
    </row>
    <row r="653" ht="38.25" customHeight="1">
      <c r="D653" s="74"/>
      <c r="E653" s="74"/>
    </row>
    <row r="654" ht="38.25" customHeight="1">
      <c r="D654" s="74"/>
      <c r="E654" s="74"/>
    </row>
    <row r="655" ht="38.25" customHeight="1">
      <c r="D655" s="74"/>
      <c r="E655" s="74"/>
    </row>
    <row r="656" ht="38.25" customHeight="1">
      <c r="D656" s="74"/>
      <c r="E656" s="74"/>
    </row>
    <row r="657" ht="38.25" customHeight="1">
      <c r="D657" s="74"/>
      <c r="E657" s="74"/>
    </row>
    <row r="658" ht="38.25" customHeight="1">
      <c r="D658" s="74"/>
      <c r="E658" s="74"/>
    </row>
    <row r="659" ht="38.25" customHeight="1">
      <c r="D659" s="74"/>
      <c r="E659" s="74"/>
    </row>
    <row r="660" ht="38.25" customHeight="1">
      <c r="D660" s="74"/>
      <c r="E660" s="74"/>
    </row>
    <row r="661" ht="38.25" customHeight="1">
      <c r="D661" s="74"/>
      <c r="E661" s="74"/>
    </row>
    <row r="662" ht="38.25" customHeight="1">
      <c r="D662" s="74"/>
      <c r="E662" s="74"/>
    </row>
    <row r="663" ht="38.25" customHeight="1">
      <c r="D663" s="74"/>
      <c r="E663" s="74"/>
    </row>
    <row r="664" ht="38.25" customHeight="1">
      <c r="D664" s="74"/>
      <c r="E664" s="74"/>
    </row>
    <row r="665" ht="38.25" customHeight="1">
      <c r="D665" s="74"/>
      <c r="E665" s="74"/>
    </row>
    <row r="666" ht="38.25" customHeight="1">
      <c r="D666" s="74"/>
      <c r="E666" s="74"/>
    </row>
    <row r="667" ht="38.25" customHeight="1">
      <c r="D667" s="74"/>
      <c r="E667" s="74"/>
    </row>
    <row r="668" ht="38.25" customHeight="1">
      <c r="D668" s="74"/>
      <c r="E668" s="74"/>
    </row>
    <row r="669" ht="38.25" customHeight="1">
      <c r="D669" s="74"/>
      <c r="E669" s="74"/>
    </row>
    <row r="670" ht="38.25" customHeight="1">
      <c r="D670" s="74"/>
      <c r="E670" s="74"/>
    </row>
    <row r="671" ht="38.25" customHeight="1">
      <c r="D671" s="74"/>
      <c r="E671" s="74"/>
    </row>
    <row r="672" ht="38.25" customHeight="1">
      <c r="D672" s="74"/>
      <c r="E672" s="74"/>
    </row>
    <row r="673" ht="38.25" customHeight="1">
      <c r="D673" s="74"/>
      <c r="E673" s="74"/>
    </row>
    <row r="674" ht="38.25" customHeight="1">
      <c r="D674" s="74"/>
      <c r="E674" s="74"/>
    </row>
    <row r="675" ht="38.25" customHeight="1">
      <c r="D675" s="74"/>
      <c r="E675" s="74"/>
    </row>
    <row r="676" ht="38.25" customHeight="1">
      <c r="D676" s="74"/>
      <c r="E676" s="74"/>
    </row>
    <row r="677" ht="38.25" customHeight="1">
      <c r="D677" s="74"/>
      <c r="E677" s="74"/>
    </row>
    <row r="678" ht="38.25" customHeight="1">
      <c r="D678" s="74"/>
      <c r="E678" s="74"/>
    </row>
    <row r="679" ht="38.25" customHeight="1">
      <c r="D679" s="74"/>
      <c r="E679" s="74"/>
    </row>
    <row r="680" ht="38.25" customHeight="1">
      <c r="D680" s="74"/>
      <c r="E680" s="74"/>
    </row>
    <row r="681" ht="38.25" customHeight="1">
      <c r="D681" s="74"/>
      <c r="E681" s="74"/>
    </row>
    <row r="682" ht="38.25" customHeight="1">
      <c r="D682" s="74"/>
      <c r="E682" s="74"/>
    </row>
    <row r="683" ht="38.25" customHeight="1">
      <c r="D683" s="74"/>
      <c r="E683" s="74"/>
    </row>
    <row r="684" ht="38.25" customHeight="1">
      <c r="D684" s="74"/>
      <c r="E684" s="74"/>
    </row>
    <row r="685" ht="38.25" customHeight="1">
      <c r="D685" s="74"/>
      <c r="E685" s="74"/>
    </row>
    <row r="686" ht="38.25" customHeight="1">
      <c r="D686" s="74"/>
      <c r="E686" s="74"/>
    </row>
    <row r="687" ht="38.25" customHeight="1">
      <c r="D687" s="74"/>
      <c r="E687" s="74"/>
    </row>
    <row r="688" ht="38.25" customHeight="1">
      <c r="D688" s="74"/>
      <c r="E688" s="74"/>
    </row>
    <row r="689" ht="38.25" customHeight="1">
      <c r="D689" s="74"/>
      <c r="E689" s="74"/>
    </row>
    <row r="690" ht="38.25" customHeight="1">
      <c r="D690" s="74"/>
      <c r="E690" s="74"/>
    </row>
    <row r="691" ht="38.25" customHeight="1">
      <c r="D691" s="74"/>
      <c r="E691" s="74"/>
    </row>
    <row r="692" ht="38.25" customHeight="1">
      <c r="D692" s="74"/>
      <c r="E692" s="74"/>
    </row>
    <row r="693" ht="38.25" customHeight="1">
      <c r="D693" s="74"/>
      <c r="E693" s="74"/>
    </row>
    <row r="694" ht="38.25" customHeight="1">
      <c r="D694" s="74"/>
      <c r="E694" s="74"/>
    </row>
    <row r="695" ht="38.25" customHeight="1">
      <c r="D695" s="74"/>
      <c r="E695" s="74"/>
    </row>
    <row r="696" ht="38.25" customHeight="1">
      <c r="D696" s="74"/>
      <c r="E696" s="74"/>
    </row>
    <row r="697" ht="38.25" customHeight="1">
      <c r="D697" s="74"/>
      <c r="E697" s="74"/>
    </row>
    <row r="698" ht="38.25" customHeight="1">
      <c r="D698" s="74"/>
      <c r="E698" s="74"/>
    </row>
    <row r="699" ht="38.25" customHeight="1">
      <c r="D699" s="74"/>
      <c r="E699" s="74"/>
    </row>
    <row r="700" ht="38.25" customHeight="1">
      <c r="D700" s="74"/>
      <c r="E700" s="74"/>
    </row>
    <row r="701" ht="38.25" customHeight="1">
      <c r="D701" s="74"/>
      <c r="E701" s="74"/>
    </row>
    <row r="702" ht="38.25" customHeight="1">
      <c r="D702" s="74"/>
      <c r="E702" s="74"/>
    </row>
    <row r="703" ht="38.25" customHeight="1">
      <c r="D703" s="74"/>
      <c r="E703" s="74"/>
    </row>
    <row r="704" ht="38.25" customHeight="1">
      <c r="D704" s="74"/>
      <c r="E704" s="74"/>
    </row>
    <row r="705" ht="38.25" customHeight="1">
      <c r="D705" s="74"/>
      <c r="E705" s="74"/>
    </row>
    <row r="706" ht="38.25" customHeight="1">
      <c r="D706" s="74"/>
      <c r="E706" s="74"/>
    </row>
    <row r="707" ht="38.25" customHeight="1">
      <c r="D707" s="74"/>
      <c r="E707" s="74"/>
    </row>
    <row r="708" ht="38.25" customHeight="1">
      <c r="D708" s="74"/>
      <c r="E708" s="74"/>
    </row>
    <row r="709" ht="38.25" customHeight="1">
      <c r="D709" s="74"/>
      <c r="E709" s="74"/>
    </row>
    <row r="710" ht="38.25" customHeight="1">
      <c r="D710" s="74"/>
      <c r="E710" s="74"/>
    </row>
    <row r="711" ht="38.25" customHeight="1">
      <c r="D711" s="74"/>
      <c r="E711" s="74"/>
    </row>
    <row r="712" ht="38.25" customHeight="1">
      <c r="D712" s="74"/>
      <c r="E712" s="74"/>
    </row>
    <row r="713" ht="38.25" customHeight="1">
      <c r="D713" s="74"/>
      <c r="E713" s="74"/>
    </row>
    <row r="714" ht="38.25" customHeight="1">
      <c r="D714" s="74"/>
      <c r="E714" s="74"/>
    </row>
    <row r="715" ht="38.25" customHeight="1">
      <c r="D715" s="74"/>
      <c r="E715" s="74"/>
    </row>
    <row r="716" ht="38.25" customHeight="1">
      <c r="D716" s="74"/>
      <c r="E716" s="74"/>
    </row>
    <row r="717" ht="38.25" customHeight="1">
      <c r="D717" s="74"/>
      <c r="E717" s="74"/>
    </row>
    <row r="718" ht="38.25" customHeight="1">
      <c r="D718" s="74"/>
      <c r="E718" s="74"/>
    </row>
    <row r="719" ht="38.25" customHeight="1">
      <c r="D719" s="74"/>
      <c r="E719" s="74"/>
    </row>
    <row r="720" ht="38.25" customHeight="1">
      <c r="D720" s="74"/>
      <c r="E720" s="74"/>
    </row>
    <row r="721" ht="38.25" customHeight="1">
      <c r="D721" s="74"/>
      <c r="E721" s="74"/>
    </row>
    <row r="722" ht="38.25" customHeight="1">
      <c r="D722" s="74"/>
      <c r="E722" s="74"/>
    </row>
    <row r="723" ht="38.25" customHeight="1">
      <c r="D723" s="74"/>
      <c r="E723" s="74"/>
    </row>
    <row r="724" ht="38.25" customHeight="1">
      <c r="D724" s="74"/>
      <c r="E724" s="74"/>
    </row>
    <row r="725" ht="38.25" customHeight="1">
      <c r="D725" s="74"/>
      <c r="E725" s="74"/>
    </row>
    <row r="726" ht="38.25" customHeight="1">
      <c r="D726" s="74"/>
      <c r="E726" s="74"/>
    </row>
    <row r="727" ht="38.25" customHeight="1">
      <c r="D727" s="74"/>
      <c r="E727" s="74"/>
    </row>
    <row r="728" ht="38.25" customHeight="1">
      <c r="D728" s="74"/>
      <c r="E728" s="74"/>
    </row>
    <row r="729" ht="38.25" customHeight="1">
      <c r="D729" s="74"/>
      <c r="E729" s="74"/>
    </row>
    <row r="730" ht="38.25" customHeight="1">
      <c r="D730" s="74"/>
      <c r="E730" s="74"/>
    </row>
    <row r="731" ht="38.25" customHeight="1">
      <c r="D731" s="74"/>
      <c r="E731" s="74"/>
    </row>
    <row r="732" ht="38.25" customHeight="1">
      <c r="D732" s="74"/>
      <c r="E732" s="74"/>
    </row>
    <row r="733" ht="38.25" customHeight="1">
      <c r="D733" s="74"/>
      <c r="E733" s="74"/>
    </row>
    <row r="734" ht="38.25" customHeight="1">
      <c r="D734" s="74"/>
      <c r="E734" s="74"/>
    </row>
    <row r="735" ht="38.25" customHeight="1">
      <c r="D735" s="74"/>
      <c r="E735" s="74"/>
    </row>
    <row r="736" ht="38.25" customHeight="1">
      <c r="D736" s="74"/>
      <c r="E736" s="74"/>
    </row>
    <row r="737" ht="38.25" customHeight="1">
      <c r="D737" s="74"/>
      <c r="E737" s="74"/>
    </row>
    <row r="738" ht="38.25" customHeight="1">
      <c r="D738" s="74"/>
      <c r="E738" s="74"/>
    </row>
    <row r="739" ht="38.25" customHeight="1">
      <c r="D739" s="74"/>
      <c r="E739" s="74"/>
    </row>
    <row r="740" ht="38.25" customHeight="1">
      <c r="D740" s="74"/>
      <c r="E740" s="74"/>
    </row>
    <row r="741" ht="38.25" customHeight="1">
      <c r="D741" s="74"/>
      <c r="E741" s="74"/>
    </row>
    <row r="742" ht="38.25" customHeight="1">
      <c r="D742" s="74"/>
      <c r="E742" s="74"/>
    </row>
    <row r="743" ht="38.25" customHeight="1">
      <c r="D743" s="74"/>
      <c r="E743" s="74"/>
    </row>
    <row r="744" ht="38.25" customHeight="1">
      <c r="D744" s="74"/>
      <c r="E744" s="74"/>
    </row>
    <row r="745" ht="38.25" customHeight="1">
      <c r="D745" s="74"/>
      <c r="E745" s="74"/>
    </row>
    <row r="746" ht="38.25" customHeight="1">
      <c r="D746" s="74"/>
      <c r="E746" s="74"/>
    </row>
    <row r="747" ht="38.25" customHeight="1">
      <c r="D747" s="74"/>
      <c r="E747" s="74"/>
    </row>
    <row r="748" ht="38.25" customHeight="1">
      <c r="D748" s="74"/>
      <c r="E748" s="74"/>
    </row>
    <row r="749" ht="38.25" customHeight="1">
      <c r="D749" s="74"/>
      <c r="E749" s="74"/>
    </row>
    <row r="750" ht="38.25" customHeight="1">
      <c r="D750" s="74"/>
      <c r="E750" s="74"/>
    </row>
    <row r="751" ht="38.25" customHeight="1">
      <c r="D751" s="74"/>
      <c r="E751" s="74"/>
    </row>
    <row r="752" ht="38.25" customHeight="1">
      <c r="D752" s="74"/>
      <c r="E752" s="74"/>
    </row>
    <row r="753" ht="38.25" customHeight="1">
      <c r="D753" s="74"/>
      <c r="E753" s="74"/>
    </row>
    <row r="754" ht="38.25" customHeight="1">
      <c r="D754" s="74"/>
      <c r="E754" s="74"/>
    </row>
    <row r="755" ht="38.25" customHeight="1">
      <c r="D755" s="74"/>
      <c r="E755" s="74"/>
    </row>
    <row r="756" ht="38.25" customHeight="1">
      <c r="D756" s="74"/>
      <c r="E756" s="74"/>
    </row>
    <row r="757" ht="38.25" customHeight="1">
      <c r="D757" s="74"/>
      <c r="E757" s="74"/>
    </row>
    <row r="758" ht="38.25" customHeight="1">
      <c r="D758" s="74"/>
      <c r="E758" s="74"/>
    </row>
    <row r="759" ht="38.25" customHeight="1">
      <c r="D759" s="74"/>
      <c r="E759" s="74"/>
    </row>
    <row r="760" ht="38.25" customHeight="1">
      <c r="D760" s="74"/>
      <c r="E760" s="74"/>
    </row>
    <row r="761" ht="38.25" customHeight="1">
      <c r="D761" s="74"/>
      <c r="E761" s="74"/>
    </row>
    <row r="762" ht="38.25" customHeight="1">
      <c r="D762" s="74"/>
      <c r="E762" s="74"/>
    </row>
    <row r="763" ht="38.25" customHeight="1">
      <c r="D763" s="74"/>
      <c r="E763" s="74"/>
    </row>
    <row r="764" ht="38.25" customHeight="1">
      <c r="D764" s="74"/>
      <c r="E764" s="74"/>
    </row>
    <row r="765" ht="38.25" customHeight="1">
      <c r="D765" s="74"/>
      <c r="E765" s="74"/>
    </row>
    <row r="766" ht="38.25" customHeight="1">
      <c r="D766" s="74"/>
      <c r="E766" s="74"/>
    </row>
    <row r="767" ht="38.25" customHeight="1">
      <c r="D767" s="74"/>
      <c r="E767" s="74"/>
    </row>
    <row r="768" ht="38.25" customHeight="1">
      <c r="D768" s="74"/>
      <c r="E768" s="74"/>
    </row>
    <row r="769" ht="38.25" customHeight="1">
      <c r="D769" s="74"/>
      <c r="E769" s="74"/>
    </row>
    <row r="770" ht="38.25" customHeight="1">
      <c r="D770" s="74"/>
      <c r="E770" s="74"/>
    </row>
    <row r="771" ht="38.25" customHeight="1">
      <c r="D771" s="74"/>
      <c r="E771" s="74"/>
    </row>
    <row r="772" ht="38.25" customHeight="1">
      <c r="D772" s="74"/>
      <c r="E772" s="74"/>
    </row>
    <row r="773" ht="38.25" customHeight="1">
      <c r="D773" s="74"/>
      <c r="E773" s="74"/>
    </row>
    <row r="774" ht="38.25" customHeight="1">
      <c r="D774" s="74"/>
      <c r="E774" s="74"/>
    </row>
    <row r="775" ht="38.25" customHeight="1">
      <c r="D775" s="74"/>
      <c r="E775" s="74"/>
    </row>
    <row r="776" ht="38.25" customHeight="1">
      <c r="D776" s="74"/>
      <c r="E776" s="74"/>
    </row>
    <row r="777" ht="38.25" customHeight="1">
      <c r="D777" s="74"/>
      <c r="E777" s="74"/>
    </row>
    <row r="778" ht="38.25" customHeight="1">
      <c r="D778" s="74"/>
      <c r="E778" s="74"/>
    </row>
    <row r="779" ht="38.25" customHeight="1">
      <c r="D779" s="74"/>
      <c r="E779" s="74"/>
    </row>
    <row r="780" ht="38.25" customHeight="1">
      <c r="D780" s="74"/>
      <c r="E780" s="74"/>
    </row>
    <row r="781" ht="38.25" customHeight="1">
      <c r="D781" s="74"/>
      <c r="E781" s="74"/>
    </row>
    <row r="782" ht="38.25" customHeight="1">
      <c r="D782" s="74"/>
      <c r="E782" s="74"/>
    </row>
    <row r="783" ht="38.25" customHeight="1">
      <c r="D783" s="74"/>
      <c r="E783" s="74"/>
    </row>
    <row r="784" ht="38.25" customHeight="1">
      <c r="D784" s="74"/>
      <c r="E784" s="74"/>
    </row>
    <row r="785" ht="38.25" customHeight="1">
      <c r="D785" s="74"/>
      <c r="E785" s="74"/>
    </row>
    <row r="786" ht="38.25" customHeight="1">
      <c r="D786" s="74"/>
      <c r="E786" s="74"/>
    </row>
    <row r="787" ht="38.25" customHeight="1">
      <c r="D787" s="74"/>
      <c r="E787" s="74"/>
    </row>
    <row r="788" ht="38.25" customHeight="1">
      <c r="D788" s="74"/>
      <c r="E788" s="74"/>
    </row>
    <row r="789" ht="38.25" customHeight="1">
      <c r="D789" s="74"/>
      <c r="E789" s="74"/>
    </row>
    <row r="790" ht="38.25" customHeight="1">
      <c r="D790" s="74"/>
      <c r="E790" s="74"/>
    </row>
    <row r="791" ht="38.25" customHeight="1">
      <c r="D791" s="74"/>
      <c r="E791" s="74"/>
    </row>
    <row r="792" ht="38.25" customHeight="1">
      <c r="D792" s="74"/>
      <c r="E792" s="74"/>
    </row>
    <row r="793" ht="38.25" customHeight="1">
      <c r="D793" s="74"/>
      <c r="E793" s="74"/>
    </row>
    <row r="794" ht="38.25" customHeight="1">
      <c r="D794" s="74"/>
      <c r="E794" s="74"/>
    </row>
    <row r="795" ht="38.25" customHeight="1">
      <c r="D795" s="74"/>
      <c r="E795" s="74"/>
    </row>
    <row r="796" ht="38.25" customHeight="1">
      <c r="D796" s="74"/>
      <c r="E796" s="74"/>
    </row>
    <row r="797" ht="38.25" customHeight="1">
      <c r="D797" s="74"/>
      <c r="E797" s="74"/>
    </row>
    <row r="798" ht="38.25" customHeight="1">
      <c r="D798" s="74"/>
      <c r="E798" s="74"/>
    </row>
    <row r="799" ht="38.25" customHeight="1">
      <c r="D799" s="74"/>
      <c r="E799" s="74"/>
    </row>
    <row r="800" ht="38.25" customHeight="1">
      <c r="D800" s="74"/>
      <c r="E800" s="74"/>
    </row>
    <row r="801" ht="38.25" customHeight="1">
      <c r="D801" s="74"/>
      <c r="E801" s="74"/>
    </row>
    <row r="802" ht="38.25" customHeight="1">
      <c r="D802" s="74"/>
      <c r="E802" s="74"/>
    </row>
    <row r="803" ht="38.25" customHeight="1">
      <c r="D803" s="74"/>
      <c r="E803" s="74"/>
    </row>
    <row r="804" ht="38.25" customHeight="1">
      <c r="D804" s="74"/>
      <c r="E804" s="74"/>
    </row>
    <row r="805" ht="38.25" customHeight="1">
      <c r="D805" s="74"/>
      <c r="E805" s="74"/>
    </row>
    <row r="806" ht="38.25" customHeight="1">
      <c r="D806" s="74"/>
      <c r="E806" s="74"/>
    </row>
    <row r="807" ht="38.25" customHeight="1">
      <c r="D807" s="74"/>
      <c r="E807" s="74"/>
    </row>
    <row r="808" ht="38.25" customHeight="1">
      <c r="D808" s="74"/>
      <c r="E808" s="74"/>
    </row>
    <row r="809" ht="38.25" customHeight="1">
      <c r="D809" s="74"/>
      <c r="E809" s="74"/>
    </row>
    <row r="810" ht="38.25" customHeight="1">
      <c r="D810" s="74"/>
      <c r="E810" s="74"/>
    </row>
    <row r="811" ht="38.25" customHeight="1">
      <c r="D811" s="74"/>
      <c r="E811" s="74"/>
    </row>
    <row r="812" ht="38.25" customHeight="1">
      <c r="D812" s="74"/>
      <c r="E812" s="74"/>
    </row>
    <row r="813" ht="38.25" customHeight="1">
      <c r="D813" s="74"/>
      <c r="E813" s="74"/>
    </row>
    <row r="814" ht="38.25" customHeight="1">
      <c r="D814" s="74"/>
      <c r="E814" s="74"/>
    </row>
    <row r="815" ht="38.25" customHeight="1">
      <c r="D815" s="74"/>
      <c r="E815" s="74"/>
    </row>
    <row r="816" ht="38.25" customHeight="1">
      <c r="D816" s="74"/>
      <c r="E816" s="74"/>
    </row>
    <row r="817" ht="38.25" customHeight="1">
      <c r="D817" s="74"/>
      <c r="E817" s="74"/>
    </row>
    <row r="818" ht="38.25" customHeight="1">
      <c r="D818" s="74"/>
      <c r="E818" s="74"/>
    </row>
    <row r="819" ht="38.25" customHeight="1">
      <c r="D819" s="74"/>
      <c r="E819" s="74"/>
    </row>
    <row r="820" ht="38.25" customHeight="1">
      <c r="D820" s="74"/>
      <c r="E820" s="74"/>
    </row>
    <row r="821" ht="38.25" customHeight="1">
      <c r="D821" s="74"/>
      <c r="E821" s="74"/>
    </row>
    <row r="822" ht="38.25" customHeight="1">
      <c r="D822" s="74"/>
      <c r="E822" s="74"/>
    </row>
    <row r="823" ht="38.25" customHeight="1">
      <c r="D823" s="74"/>
      <c r="E823" s="74"/>
    </row>
    <row r="824" ht="38.25" customHeight="1">
      <c r="D824" s="74"/>
      <c r="E824" s="74"/>
    </row>
    <row r="825" ht="38.25" customHeight="1">
      <c r="D825" s="74"/>
      <c r="E825" s="74"/>
    </row>
    <row r="826" ht="38.25" customHeight="1">
      <c r="D826" s="74"/>
      <c r="E826" s="74"/>
    </row>
    <row r="827" ht="38.25" customHeight="1">
      <c r="D827" s="74"/>
      <c r="E827" s="74"/>
    </row>
    <row r="828" ht="38.25" customHeight="1">
      <c r="D828" s="74"/>
      <c r="E828" s="74"/>
    </row>
    <row r="829" ht="38.25" customHeight="1">
      <c r="D829" s="74"/>
      <c r="E829" s="74"/>
    </row>
    <row r="830" ht="38.25" customHeight="1">
      <c r="D830" s="74"/>
      <c r="E830" s="74"/>
    </row>
    <row r="831" ht="38.25" customHeight="1">
      <c r="D831" s="74"/>
      <c r="E831" s="74"/>
    </row>
    <row r="832" ht="38.25" customHeight="1">
      <c r="D832" s="74"/>
      <c r="E832" s="74"/>
    </row>
    <row r="833" ht="38.25" customHeight="1">
      <c r="D833" s="74"/>
      <c r="E833" s="74"/>
    </row>
    <row r="834" ht="38.25" customHeight="1">
      <c r="D834" s="74"/>
      <c r="E834" s="74"/>
    </row>
    <row r="835" ht="38.25" customHeight="1">
      <c r="D835" s="74"/>
      <c r="E835" s="74"/>
    </row>
    <row r="836" ht="38.25" customHeight="1">
      <c r="D836" s="74"/>
      <c r="E836" s="74"/>
    </row>
    <row r="837" ht="38.25" customHeight="1">
      <c r="D837" s="74"/>
      <c r="E837" s="74"/>
    </row>
    <row r="838" ht="38.25" customHeight="1">
      <c r="D838" s="74"/>
      <c r="E838" s="74"/>
    </row>
    <row r="839" ht="38.25" customHeight="1">
      <c r="D839" s="74"/>
      <c r="E839" s="74"/>
    </row>
    <row r="840" ht="38.25" customHeight="1">
      <c r="D840" s="74"/>
      <c r="E840" s="74"/>
    </row>
    <row r="841" ht="38.25" customHeight="1">
      <c r="D841" s="74"/>
      <c r="E841" s="74"/>
    </row>
    <row r="842" ht="38.25" customHeight="1">
      <c r="D842" s="74"/>
      <c r="E842" s="74"/>
    </row>
    <row r="843" ht="38.25" customHeight="1">
      <c r="D843" s="74"/>
      <c r="E843" s="74"/>
    </row>
    <row r="844" ht="38.25" customHeight="1">
      <c r="D844" s="74"/>
      <c r="E844" s="74"/>
    </row>
    <row r="845" ht="38.25" customHeight="1">
      <c r="D845" s="74"/>
      <c r="E845" s="74"/>
    </row>
    <row r="846" ht="38.25" customHeight="1">
      <c r="D846" s="74"/>
      <c r="E846" s="74"/>
    </row>
    <row r="847" ht="38.25" customHeight="1">
      <c r="D847" s="74"/>
      <c r="E847" s="74"/>
    </row>
    <row r="848" ht="38.25" customHeight="1">
      <c r="D848" s="74"/>
      <c r="E848" s="74"/>
    </row>
    <row r="849" ht="38.25" customHeight="1">
      <c r="D849" s="74"/>
      <c r="E849" s="74"/>
    </row>
    <row r="850" ht="38.25" customHeight="1">
      <c r="D850" s="74"/>
      <c r="E850" s="74"/>
    </row>
    <row r="851" ht="38.25" customHeight="1">
      <c r="D851" s="74"/>
      <c r="E851" s="74"/>
    </row>
    <row r="852" ht="38.25" customHeight="1">
      <c r="D852" s="74"/>
      <c r="E852" s="74"/>
    </row>
    <row r="853" ht="38.25" customHeight="1">
      <c r="D853" s="74"/>
      <c r="E853" s="74"/>
    </row>
    <row r="854" ht="38.25" customHeight="1">
      <c r="D854" s="74"/>
      <c r="E854" s="74"/>
    </row>
    <row r="855" ht="38.25" customHeight="1">
      <c r="D855" s="74"/>
      <c r="E855" s="74"/>
    </row>
    <row r="856" ht="38.25" customHeight="1">
      <c r="D856" s="74"/>
      <c r="E856" s="74"/>
    </row>
    <row r="857" ht="38.25" customHeight="1">
      <c r="D857" s="74"/>
      <c r="E857" s="74"/>
    </row>
    <row r="858" ht="38.25" customHeight="1">
      <c r="D858" s="74"/>
      <c r="E858" s="74"/>
    </row>
    <row r="859" ht="38.25" customHeight="1">
      <c r="D859" s="74"/>
      <c r="E859" s="74"/>
    </row>
    <row r="860" ht="38.25" customHeight="1">
      <c r="D860" s="74"/>
      <c r="E860" s="74"/>
    </row>
    <row r="861" ht="38.25" customHeight="1">
      <c r="D861" s="74"/>
      <c r="E861" s="74"/>
    </row>
    <row r="862" ht="38.25" customHeight="1">
      <c r="D862" s="74"/>
      <c r="E862" s="74"/>
    </row>
    <row r="863" ht="38.25" customHeight="1">
      <c r="D863" s="74"/>
      <c r="E863" s="74"/>
    </row>
    <row r="864" ht="38.25" customHeight="1">
      <c r="D864" s="74"/>
      <c r="E864" s="74"/>
    </row>
    <row r="865" ht="38.25" customHeight="1">
      <c r="D865" s="74"/>
      <c r="E865" s="74"/>
    </row>
    <row r="866" ht="38.25" customHeight="1">
      <c r="D866" s="74"/>
      <c r="E866" s="74"/>
    </row>
    <row r="867" ht="38.25" customHeight="1">
      <c r="D867" s="74"/>
      <c r="E867" s="74"/>
    </row>
    <row r="868" ht="38.25" customHeight="1">
      <c r="D868" s="74"/>
      <c r="E868" s="74"/>
    </row>
    <row r="869" ht="38.25" customHeight="1">
      <c r="D869" s="74"/>
      <c r="E869" s="74"/>
    </row>
    <row r="870" ht="38.25" customHeight="1">
      <c r="D870" s="74"/>
      <c r="E870" s="74"/>
    </row>
    <row r="871" ht="38.25" customHeight="1">
      <c r="D871" s="74"/>
      <c r="E871" s="74"/>
    </row>
    <row r="872" ht="38.25" customHeight="1">
      <c r="D872" s="74"/>
      <c r="E872" s="74"/>
    </row>
    <row r="873" ht="38.25" customHeight="1">
      <c r="D873" s="74"/>
      <c r="E873" s="74"/>
    </row>
    <row r="874" ht="38.25" customHeight="1">
      <c r="D874" s="74"/>
      <c r="E874" s="74"/>
    </row>
    <row r="875" ht="38.25" customHeight="1">
      <c r="D875" s="74"/>
      <c r="E875" s="74"/>
    </row>
    <row r="876" ht="38.25" customHeight="1">
      <c r="D876" s="74"/>
      <c r="E876" s="74"/>
    </row>
    <row r="877" ht="38.25" customHeight="1">
      <c r="D877" s="74"/>
      <c r="E877" s="74"/>
    </row>
    <row r="878" ht="38.25" customHeight="1">
      <c r="D878" s="74"/>
      <c r="E878" s="74"/>
    </row>
    <row r="879" ht="38.25" customHeight="1">
      <c r="D879" s="74"/>
      <c r="E879" s="74"/>
    </row>
    <row r="880" ht="38.25" customHeight="1">
      <c r="D880" s="74"/>
      <c r="E880" s="74"/>
    </row>
    <row r="881" ht="38.25" customHeight="1">
      <c r="D881" s="74"/>
      <c r="E881" s="74"/>
    </row>
    <row r="882" ht="38.25" customHeight="1">
      <c r="D882" s="74"/>
      <c r="E882" s="74"/>
    </row>
    <row r="883" ht="38.25" customHeight="1">
      <c r="D883" s="74"/>
      <c r="E883" s="74"/>
    </row>
    <row r="884" ht="38.25" customHeight="1">
      <c r="D884" s="74"/>
      <c r="E884" s="74"/>
    </row>
    <row r="885" ht="38.25" customHeight="1">
      <c r="D885" s="74"/>
      <c r="E885" s="74"/>
    </row>
    <row r="886" ht="38.25" customHeight="1">
      <c r="D886" s="74"/>
      <c r="E886" s="74"/>
    </row>
    <row r="887" ht="38.25" customHeight="1">
      <c r="D887" s="74"/>
      <c r="E887" s="74"/>
    </row>
    <row r="888" ht="38.25" customHeight="1">
      <c r="D888" s="74"/>
      <c r="E888" s="74"/>
    </row>
    <row r="889" ht="38.25" customHeight="1">
      <c r="D889" s="74"/>
      <c r="E889" s="74"/>
    </row>
    <row r="890" ht="38.25" customHeight="1">
      <c r="D890" s="74"/>
      <c r="E890" s="74"/>
    </row>
    <row r="891" ht="38.25" customHeight="1">
      <c r="D891" s="74"/>
      <c r="E891" s="74"/>
    </row>
    <row r="892" ht="38.25" customHeight="1">
      <c r="D892" s="74"/>
      <c r="E892" s="74"/>
    </row>
    <row r="893" ht="38.25" customHeight="1">
      <c r="D893" s="74"/>
      <c r="E893" s="74"/>
    </row>
    <row r="894" ht="38.25" customHeight="1">
      <c r="D894" s="74"/>
      <c r="E894" s="74"/>
    </row>
    <row r="895" ht="38.25" customHeight="1">
      <c r="D895" s="74"/>
      <c r="E895" s="74"/>
    </row>
    <row r="896" ht="38.25" customHeight="1">
      <c r="D896" s="74"/>
      <c r="E896" s="74"/>
    </row>
    <row r="897" ht="38.25" customHeight="1">
      <c r="D897" s="74"/>
      <c r="E897" s="74"/>
    </row>
    <row r="898" ht="38.25" customHeight="1">
      <c r="D898" s="74"/>
      <c r="E898" s="74"/>
    </row>
    <row r="899" ht="38.25" customHeight="1">
      <c r="D899" s="74"/>
      <c r="E899" s="74"/>
    </row>
    <row r="900" ht="38.25" customHeight="1">
      <c r="D900" s="74"/>
      <c r="E900" s="74"/>
    </row>
    <row r="901" ht="38.25" customHeight="1">
      <c r="D901" s="74"/>
      <c r="E901" s="74"/>
    </row>
    <row r="902" ht="38.25" customHeight="1">
      <c r="D902" s="74"/>
      <c r="E902" s="74"/>
    </row>
    <row r="903" ht="38.25" customHeight="1">
      <c r="D903" s="74"/>
      <c r="E903" s="74"/>
    </row>
    <row r="904" ht="38.25" customHeight="1">
      <c r="D904" s="74"/>
      <c r="E904" s="74"/>
    </row>
    <row r="905" ht="38.25" customHeight="1">
      <c r="D905" s="74"/>
      <c r="E905" s="74"/>
    </row>
    <row r="906" ht="38.25" customHeight="1">
      <c r="D906" s="74"/>
      <c r="E906" s="74"/>
    </row>
    <row r="907" ht="38.25" customHeight="1">
      <c r="D907" s="74"/>
      <c r="E907" s="74"/>
    </row>
    <row r="908" ht="38.25" customHeight="1">
      <c r="D908" s="74"/>
      <c r="E908" s="74"/>
    </row>
    <row r="909" ht="38.25" customHeight="1">
      <c r="D909" s="74"/>
      <c r="E909" s="74"/>
    </row>
    <row r="910" ht="38.25" customHeight="1">
      <c r="D910" s="74"/>
      <c r="E910" s="74"/>
    </row>
    <row r="911" ht="38.25" customHeight="1">
      <c r="D911" s="74"/>
      <c r="E911" s="74"/>
    </row>
    <row r="912" ht="38.25" customHeight="1">
      <c r="D912" s="74"/>
      <c r="E912" s="74"/>
    </row>
    <row r="913" ht="38.25" customHeight="1">
      <c r="D913" s="74"/>
      <c r="E913" s="74"/>
    </row>
    <row r="914" ht="38.25" customHeight="1">
      <c r="D914" s="74"/>
      <c r="E914" s="74"/>
    </row>
    <row r="915" ht="38.25" customHeight="1">
      <c r="D915" s="74"/>
      <c r="E915" s="74"/>
    </row>
    <row r="916" ht="38.25" customHeight="1">
      <c r="D916" s="74"/>
      <c r="E916" s="74"/>
    </row>
    <row r="917" ht="38.25" customHeight="1">
      <c r="D917" s="74"/>
      <c r="E917" s="74"/>
    </row>
    <row r="918" ht="38.25" customHeight="1">
      <c r="D918" s="74"/>
      <c r="E918" s="74"/>
    </row>
    <row r="919" ht="38.25" customHeight="1">
      <c r="D919" s="74"/>
      <c r="E919" s="74"/>
    </row>
    <row r="920" ht="38.25" customHeight="1">
      <c r="D920" s="74"/>
      <c r="E920" s="74"/>
    </row>
    <row r="921" ht="38.25" customHeight="1">
      <c r="D921" s="74"/>
      <c r="E921" s="74"/>
    </row>
    <row r="922" ht="38.25" customHeight="1">
      <c r="D922" s="74"/>
      <c r="E922" s="74"/>
    </row>
    <row r="923" ht="38.25" customHeight="1">
      <c r="D923" s="74"/>
      <c r="E923" s="74"/>
    </row>
    <row r="924" ht="38.25" customHeight="1">
      <c r="D924" s="74"/>
      <c r="E924" s="74"/>
    </row>
    <row r="925" ht="38.25" customHeight="1">
      <c r="D925" s="74"/>
      <c r="E925" s="74"/>
    </row>
    <row r="926" ht="38.25" customHeight="1">
      <c r="D926" s="74"/>
      <c r="E926" s="74"/>
    </row>
    <row r="927" ht="38.25" customHeight="1">
      <c r="D927" s="74"/>
      <c r="E927" s="74"/>
    </row>
    <row r="928" ht="38.25" customHeight="1">
      <c r="D928" s="74"/>
      <c r="E928" s="74"/>
    </row>
    <row r="929" ht="38.25" customHeight="1">
      <c r="D929" s="74"/>
      <c r="E929" s="74"/>
    </row>
    <row r="930" ht="38.25" customHeight="1">
      <c r="D930" s="74"/>
      <c r="E930" s="74"/>
    </row>
    <row r="931" ht="38.25" customHeight="1">
      <c r="D931" s="74"/>
      <c r="E931" s="74"/>
    </row>
    <row r="932" ht="38.25" customHeight="1">
      <c r="D932" s="74"/>
      <c r="E932" s="74"/>
    </row>
    <row r="933" ht="38.25" customHeight="1">
      <c r="D933" s="74"/>
      <c r="E933" s="74"/>
    </row>
    <row r="934" ht="38.25" customHeight="1">
      <c r="D934" s="74"/>
      <c r="E934" s="74"/>
    </row>
    <row r="935" ht="38.25" customHeight="1">
      <c r="D935" s="74"/>
      <c r="E935" s="74"/>
    </row>
    <row r="936" ht="38.25" customHeight="1">
      <c r="D936" s="74"/>
      <c r="E936" s="74"/>
    </row>
    <row r="937" ht="38.25" customHeight="1">
      <c r="D937" s="74"/>
      <c r="E937" s="74"/>
    </row>
    <row r="938" ht="38.25" customHeight="1">
      <c r="D938" s="74"/>
      <c r="E938" s="74"/>
    </row>
    <row r="939" ht="38.25" customHeight="1">
      <c r="D939" s="74"/>
      <c r="E939" s="74"/>
    </row>
    <row r="940" ht="38.25" customHeight="1">
      <c r="D940" s="74"/>
      <c r="E940" s="74"/>
    </row>
    <row r="941" ht="38.25" customHeight="1">
      <c r="D941" s="74"/>
      <c r="E941" s="74"/>
    </row>
    <row r="942" ht="38.25" customHeight="1">
      <c r="D942" s="74"/>
      <c r="E942" s="74"/>
    </row>
    <row r="943" ht="38.25" customHeight="1">
      <c r="D943" s="74"/>
      <c r="E943" s="74"/>
    </row>
    <row r="944" ht="38.25" customHeight="1">
      <c r="D944" s="74"/>
      <c r="E944" s="74"/>
    </row>
    <row r="945" ht="38.25" customHeight="1">
      <c r="D945" s="74"/>
      <c r="E945" s="74"/>
    </row>
    <row r="946" ht="38.25" customHeight="1">
      <c r="D946" s="74"/>
      <c r="E946" s="74"/>
    </row>
    <row r="947" ht="38.25" customHeight="1">
      <c r="D947" s="74"/>
      <c r="E947" s="74"/>
    </row>
    <row r="948" ht="38.25" customHeight="1">
      <c r="D948" s="74"/>
      <c r="E948" s="74"/>
    </row>
    <row r="949" ht="38.25" customHeight="1">
      <c r="D949" s="74"/>
      <c r="E949" s="74"/>
    </row>
    <row r="950" ht="38.25" customHeight="1">
      <c r="D950" s="74"/>
      <c r="E950" s="74"/>
    </row>
    <row r="951" ht="38.25" customHeight="1">
      <c r="D951" s="74"/>
      <c r="E951" s="74"/>
    </row>
    <row r="952" ht="38.25" customHeight="1">
      <c r="D952" s="74"/>
      <c r="E952" s="74"/>
    </row>
    <row r="953" ht="38.25" customHeight="1">
      <c r="D953" s="74"/>
      <c r="E953" s="74"/>
    </row>
    <row r="954" ht="38.25" customHeight="1">
      <c r="D954" s="74"/>
      <c r="E954" s="74"/>
    </row>
    <row r="955" ht="38.25" customHeight="1">
      <c r="D955" s="74"/>
      <c r="E955" s="74"/>
    </row>
    <row r="956" ht="38.25" customHeight="1">
      <c r="D956" s="74"/>
      <c r="E956" s="74"/>
    </row>
    <row r="957" ht="38.25" customHeight="1">
      <c r="D957" s="74"/>
      <c r="E957" s="74"/>
    </row>
    <row r="958" ht="38.25" customHeight="1">
      <c r="D958" s="74"/>
      <c r="E958" s="74"/>
    </row>
    <row r="959" ht="38.25" customHeight="1">
      <c r="D959" s="74"/>
      <c r="E959" s="74"/>
    </row>
    <row r="960" ht="38.25" customHeight="1">
      <c r="D960" s="74"/>
      <c r="E960" s="74"/>
    </row>
    <row r="961" ht="38.25" customHeight="1">
      <c r="D961" s="74"/>
      <c r="E961" s="74"/>
    </row>
    <row r="962" ht="38.25" customHeight="1">
      <c r="D962" s="74"/>
      <c r="E962" s="74"/>
    </row>
    <row r="963" ht="38.25" customHeight="1">
      <c r="D963" s="74"/>
      <c r="E963" s="74"/>
    </row>
    <row r="964" ht="38.25" customHeight="1">
      <c r="D964" s="74"/>
      <c r="E964" s="74"/>
    </row>
    <row r="965" ht="38.25" customHeight="1">
      <c r="D965" s="74"/>
      <c r="E965" s="74"/>
    </row>
    <row r="966" ht="38.25" customHeight="1">
      <c r="D966" s="74"/>
      <c r="E966" s="74"/>
    </row>
    <row r="967" ht="38.25" customHeight="1">
      <c r="D967" s="74"/>
      <c r="E967" s="74"/>
    </row>
    <row r="968" ht="38.25" customHeight="1">
      <c r="D968" s="74"/>
      <c r="E968" s="74"/>
    </row>
    <row r="969" ht="38.25" customHeight="1">
      <c r="D969" s="74"/>
      <c r="E969" s="74"/>
    </row>
    <row r="970" ht="38.25" customHeight="1">
      <c r="D970" s="74"/>
      <c r="E970" s="74"/>
    </row>
    <row r="971" ht="38.25" customHeight="1">
      <c r="D971" s="74"/>
      <c r="E971" s="74"/>
    </row>
    <row r="972" ht="38.25" customHeight="1">
      <c r="D972" s="74"/>
      <c r="E972" s="74"/>
    </row>
    <row r="973" ht="38.25" customHeight="1">
      <c r="D973" s="74"/>
      <c r="E973" s="74"/>
    </row>
    <row r="974" ht="38.25" customHeight="1">
      <c r="D974" s="74"/>
      <c r="E974" s="74"/>
    </row>
    <row r="975" ht="38.25" customHeight="1">
      <c r="D975" s="74"/>
      <c r="E975" s="74"/>
    </row>
    <row r="976" ht="38.25" customHeight="1">
      <c r="D976" s="74"/>
      <c r="E976" s="74"/>
    </row>
    <row r="977" ht="38.25" customHeight="1">
      <c r="D977" s="74"/>
      <c r="E977" s="74"/>
    </row>
    <row r="978" ht="38.25" customHeight="1">
      <c r="D978" s="74"/>
      <c r="E978" s="74"/>
    </row>
    <row r="979" ht="38.25" customHeight="1">
      <c r="D979" s="74"/>
      <c r="E979" s="74"/>
    </row>
    <row r="980" ht="38.25" customHeight="1">
      <c r="D980" s="74"/>
      <c r="E980" s="74"/>
    </row>
    <row r="981" ht="38.25" customHeight="1">
      <c r="D981" s="74"/>
      <c r="E981" s="74"/>
    </row>
    <row r="982" ht="38.25" customHeight="1">
      <c r="D982" s="74"/>
      <c r="E982" s="74"/>
    </row>
    <row r="983" ht="38.25" customHeight="1">
      <c r="D983" s="74"/>
      <c r="E983" s="74"/>
    </row>
    <row r="984" ht="38.25" customHeight="1">
      <c r="D984" s="74"/>
      <c r="E984" s="74"/>
    </row>
    <row r="985" ht="38.25" customHeight="1">
      <c r="D985" s="74"/>
      <c r="E985" s="74"/>
    </row>
    <row r="986" ht="38.25" customHeight="1">
      <c r="D986" s="74"/>
      <c r="E986" s="74"/>
    </row>
    <row r="987" ht="38.25" customHeight="1">
      <c r="D987" s="74"/>
      <c r="E987" s="74"/>
    </row>
    <row r="988" ht="38.25" customHeight="1">
      <c r="D988" s="74"/>
      <c r="E988" s="74"/>
    </row>
    <row r="989" ht="38.25" customHeight="1">
      <c r="D989" s="74"/>
      <c r="E989" s="74"/>
    </row>
    <row r="990" ht="38.25" customHeight="1">
      <c r="D990" s="74"/>
      <c r="E990" s="74"/>
    </row>
    <row r="991" ht="38.25" customHeight="1">
      <c r="D991" s="74"/>
      <c r="E991" s="74"/>
    </row>
    <row r="992" ht="38.25" customHeight="1">
      <c r="D992" s="74"/>
      <c r="E992" s="74"/>
    </row>
    <row r="993" ht="38.25" customHeight="1">
      <c r="D993" s="74"/>
      <c r="E993" s="74"/>
    </row>
    <row r="994" ht="38.25" customHeight="1">
      <c r="D994" s="74"/>
      <c r="E994" s="74"/>
    </row>
    <row r="995" ht="38.25" customHeight="1">
      <c r="D995" s="74"/>
      <c r="E995" s="74"/>
    </row>
    <row r="996" ht="38.25" customHeight="1">
      <c r="D996" s="74"/>
      <c r="E996" s="74"/>
    </row>
    <row r="997" ht="38.25" customHeight="1">
      <c r="D997" s="74"/>
      <c r="E997" s="74"/>
    </row>
    <row r="998" ht="38.25" customHeight="1">
      <c r="D998" s="74"/>
      <c r="E998" s="74"/>
    </row>
    <row r="999" ht="38.25" customHeight="1">
      <c r="D999" s="74"/>
      <c r="E999" s="74"/>
    </row>
    <row r="1000" ht="38.25" customHeight="1">
      <c r="D1000" s="74"/>
      <c r="E1000" s="74"/>
    </row>
    <row r="1001" ht="38.25" customHeight="1">
      <c r="D1001" s="74"/>
      <c r="E1001" s="74"/>
    </row>
    <row r="1002" ht="38.25" customHeight="1">
      <c r="D1002" s="74"/>
      <c r="E1002" s="74"/>
    </row>
    <row r="1003" ht="38.25" customHeight="1">
      <c r="D1003" s="74"/>
      <c r="E1003" s="74"/>
    </row>
    <row r="1004" ht="38.25" customHeight="1">
      <c r="D1004" s="74"/>
      <c r="E1004" s="74"/>
    </row>
    <row r="1005" ht="38.25" customHeight="1">
      <c r="D1005" s="74"/>
      <c r="E1005" s="74"/>
    </row>
    <row r="1006" ht="38.25" customHeight="1">
      <c r="D1006" s="74"/>
      <c r="E1006" s="74"/>
    </row>
    <row r="1007" ht="38.25" customHeight="1">
      <c r="D1007" s="74"/>
      <c r="E1007" s="74"/>
    </row>
    <row r="1008" ht="38.25" customHeight="1">
      <c r="D1008" s="74"/>
      <c r="E1008" s="74"/>
    </row>
    <row r="1009" ht="38.25" customHeight="1">
      <c r="D1009" s="74"/>
      <c r="E1009" s="74"/>
    </row>
    <row r="1010" ht="38.25" customHeight="1">
      <c r="D1010" s="74"/>
      <c r="E1010" s="74"/>
    </row>
    <row r="1011" ht="38.25" customHeight="1">
      <c r="D1011" s="74"/>
      <c r="E1011" s="74"/>
    </row>
    <row r="1012" ht="38.25" customHeight="1">
      <c r="D1012" s="74"/>
      <c r="E1012" s="74"/>
    </row>
    <row r="1013" ht="38.25" customHeight="1">
      <c r="D1013" s="74"/>
      <c r="E1013" s="74"/>
    </row>
    <row r="1014" ht="38.25" customHeight="1">
      <c r="D1014" s="74"/>
      <c r="E1014" s="74"/>
    </row>
    <row r="1015" ht="38.25" customHeight="1">
      <c r="D1015" s="74"/>
      <c r="E1015" s="74"/>
    </row>
    <row r="1016" ht="38.25" customHeight="1">
      <c r="D1016" s="74"/>
      <c r="E1016" s="74"/>
    </row>
    <row r="1017" ht="38.25" customHeight="1">
      <c r="D1017" s="74"/>
      <c r="E1017" s="74"/>
    </row>
    <row r="1018" ht="38.25" customHeight="1">
      <c r="D1018" s="74"/>
      <c r="E1018" s="74"/>
    </row>
    <row r="1019" ht="38.25" customHeight="1">
      <c r="D1019" s="74"/>
      <c r="E1019" s="74"/>
    </row>
    <row r="1020" ht="38.25" customHeight="1">
      <c r="D1020" s="74"/>
      <c r="E1020" s="74"/>
    </row>
    <row r="1021" ht="38.25" customHeight="1">
      <c r="D1021" s="74"/>
      <c r="E1021" s="74"/>
    </row>
    <row r="1022" ht="38.25" customHeight="1">
      <c r="D1022" s="74"/>
      <c r="E1022" s="74"/>
    </row>
    <row r="1023" ht="38.25" customHeight="1">
      <c r="D1023" s="74"/>
      <c r="E1023" s="74"/>
    </row>
    <row r="1024" ht="38.25" customHeight="1">
      <c r="D1024" s="74"/>
      <c r="E1024" s="74"/>
    </row>
    <row r="1025" ht="38.25" customHeight="1">
      <c r="D1025" s="74"/>
      <c r="E1025" s="74"/>
    </row>
    <row r="1026" ht="38.25" customHeight="1">
      <c r="D1026" s="74"/>
      <c r="E1026" s="74"/>
    </row>
    <row r="1027" ht="38.25" customHeight="1">
      <c r="D1027" s="74"/>
      <c r="E1027" s="74"/>
    </row>
    <row r="1028" ht="38.25" customHeight="1">
      <c r="D1028" s="74"/>
      <c r="E1028" s="74"/>
    </row>
    <row r="1029" ht="38.25" customHeight="1">
      <c r="D1029" s="74"/>
      <c r="E1029" s="74"/>
    </row>
    <row r="1030" ht="38.25" customHeight="1">
      <c r="D1030" s="74"/>
      <c r="E1030" s="74"/>
    </row>
    <row r="1031" ht="38.25" customHeight="1">
      <c r="D1031" s="74"/>
      <c r="E1031" s="74"/>
    </row>
    <row r="1032" ht="38.25" customHeight="1">
      <c r="D1032" s="74"/>
      <c r="E1032" s="74"/>
    </row>
    <row r="1033" ht="38.25" customHeight="1">
      <c r="D1033" s="74"/>
      <c r="E1033" s="74"/>
    </row>
    <row r="1034" ht="38.25" customHeight="1">
      <c r="D1034" s="74"/>
      <c r="E1034" s="74"/>
    </row>
    <row r="1035" ht="38.25" customHeight="1">
      <c r="D1035" s="74"/>
      <c r="E1035" s="74"/>
    </row>
    <row r="1036" ht="38.25" customHeight="1">
      <c r="D1036" s="74"/>
      <c r="E1036" s="74"/>
    </row>
    <row r="1037" ht="38.25" customHeight="1">
      <c r="D1037" s="74"/>
      <c r="E1037" s="74"/>
    </row>
    <row r="1038" ht="38.25" customHeight="1">
      <c r="D1038" s="74"/>
      <c r="E1038" s="74"/>
    </row>
  </sheetData>
  <mergeCells count="6">
    <mergeCell ref="F2:J3"/>
    <mergeCell ref="K2:K3"/>
    <mergeCell ref="F65:H66"/>
    <mergeCell ref="K65:K66"/>
    <mergeCell ref="B77:R77"/>
    <mergeCell ref="B85:R8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0.88"/>
    <col customWidth="1" min="3" max="3" width="15.75"/>
    <col customWidth="1" min="4" max="4" width="18.13"/>
    <col customWidth="1" min="5" max="5" width="13.5"/>
    <col customWidth="1" min="6" max="6" width="10.25"/>
    <col customWidth="1" min="7" max="7" width="10.0"/>
    <col customWidth="1" min="8" max="8" width="9.5"/>
    <col customWidth="1" min="9" max="9" width="9.25"/>
    <col customWidth="1" min="10" max="10" width="10.25"/>
    <col customWidth="1" min="11" max="13" width="8.25"/>
    <col customWidth="1" min="14" max="14" width="7.38"/>
    <col customWidth="1" min="15" max="18" width="8.0"/>
    <col customWidth="1" min="19" max="25" width="7.63"/>
    <col customWidth="1" min="26" max="26" width="12.6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0" customHeight="1">
      <c r="A2" s="5"/>
      <c r="B2" s="7" t="s">
        <v>0</v>
      </c>
      <c r="C2" s="9" t="s">
        <v>3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7.5" customHeight="1">
      <c r="A3" s="5"/>
      <c r="B3" s="12" t="s">
        <v>13</v>
      </c>
      <c r="C3" s="14" t="s">
        <v>14</v>
      </c>
      <c r="D3" s="16" t="s">
        <v>14</v>
      </c>
      <c r="E3" s="16" t="s">
        <v>14</v>
      </c>
      <c r="F3" s="16" t="s">
        <v>14</v>
      </c>
      <c r="G3" s="16" t="s">
        <v>14</v>
      </c>
      <c r="H3" s="16" t="s">
        <v>14</v>
      </c>
      <c r="I3" s="16" t="s">
        <v>14</v>
      </c>
      <c r="J3" s="16" t="s">
        <v>14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5"/>
      <c r="B4" s="12" t="s">
        <v>16</v>
      </c>
      <c r="C4" s="14">
        <v>3.0</v>
      </c>
      <c r="D4" s="19">
        <v>3.0</v>
      </c>
      <c r="E4" s="19">
        <v>3.0</v>
      </c>
      <c r="F4" s="19">
        <v>3.0</v>
      </c>
      <c r="G4" s="19">
        <v>3.0</v>
      </c>
      <c r="H4" s="19">
        <v>3.0</v>
      </c>
      <c r="I4" s="19">
        <v>3.0</v>
      </c>
      <c r="J4" s="19">
        <v>3.0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5"/>
      <c r="B5" s="24" t="s">
        <v>18</v>
      </c>
      <c r="C5" s="26">
        <v>1.0</v>
      </c>
      <c r="D5" s="28">
        <v>3.0</v>
      </c>
      <c r="E5" s="28">
        <v>3.0</v>
      </c>
      <c r="F5" s="28">
        <v>3.0</v>
      </c>
      <c r="G5" s="28">
        <v>3.0</v>
      </c>
      <c r="H5" s="28">
        <v>3.0</v>
      </c>
      <c r="I5" s="28">
        <v>3.0</v>
      </c>
      <c r="J5" s="28">
        <v>3.0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2"/>
      <c r="C6" s="31"/>
      <c r="D6" s="31"/>
      <c r="E6" s="31"/>
      <c r="F6" s="3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</row>
    <row r="7" ht="27.75" customHeight="1">
      <c r="A7" s="5"/>
      <c r="B7" s="34" t="s">
        <v>27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6"/>
      <c r="S7" s="1"/>
      <c r="T7" s="1"/>
      <c r="U7" s="1"/>
      <c r="V7" s="1"/>
      <c r="W7" s="1"/>
      <c r="X7" s="1"/>
      <c r="Y7" s="1"/>
      <c r="Z7" s="1"/>
    </row>
    <row r="8" ht="42.0" customHeight="1">
      <c r="A8" s="5"/>
      <c r="B8" s="37" t="s">
        <v>28</v>
      </c>
      <c r="C8" s="38" t="s">
        <v>29</v>
      </c>
      <c r="D8" s="39" t="s">
        <v>30</v>
      </c>
      <c r="E8" s="40" t="s">
        <v>31</v>
      </c>
      <c r="F8" s="40" t="s">
        <v>32</v>
      </c>
      <c r="G8" s="40" t="s">
        <v>33</v>
      </c>
      <c r="H8" s="40" t="s">
        <v>34</v>
      </c>
      <c r="I8" s="40" t="s">
        <v>35</v>
      </c>
      <c r="J8" s="40" t="s">
        <v>36</v>
      </c>
      <c r="K8" s="40" t="s">
        <v>37</v>
      </c>
      <c r="L8" s="40" t="s">
        <v>38</v>
      </c>
      <c r="M8" s="40" t="s">
        <v>39</v>
      </c>
      <c r="N8" s="40" t="s">
        <v>40</v>
      </c>
      <c r="O8" s="40" t="s">
        <v>41</v>
      </c>
      <c r="P8" s="41" t="s">
        <v>42</v>
      </c>
      <c r="Q8" s="41" t="s">
        <v>43</v>
      </c>
      <c r="R8" s="41" t="s">
        <v>44</v>
      </c>
      <c r="S8" s="1"/>
      <c r="T8" s="1"/>
      <c r="U8" s="1"/>
      <c r="V8" s="1"/>
      <c r="W8" s="1"/>
      <c r="X8" s="1"/>
      <c r="Y8" s="1"/>
      <c r="Z8" s="1"/>
    </row>
    <row r="9" ht="27.75" customHeight="1">
      <c r="A9" s="5"/>
      <c r="B9" s="42" t="s">
        <v>3</v>
      </c>
      <c r="C9" s="44">
        <v>3.0</v>
      </c>
      <c r="D9" s="45">
        <v>3.0</v>
      </c>
      <c r="E9" s="46">
        <v>0.0</v>
      </c>
      <c r="F9" s="47">
        <v>0.0</v>
      </c>
      <c r="G9" s="47">
        <v>0.0</v>
      </c>
      <c r="H9" s="47">
        <v>1.0</v>
      </c>
      <c r="I9" s="48">
        <v>1.0</v>
      </c>
      <c r="J9" s="48">
        <v>0.0</v>
      </c>
      <c r="K9" s="48">
        <v>0.0</v>
      </c>
      <c r="L9" s="48">
        <v>2.0</v>
      </c>
      <c r="M9" s="48">
        <v>2.0</v>
      </c>
      <c r="N9" s="48">
        <v>0.0</v>
      </c>
      <c r="O9" s="48">
        <v>0.0</v>
      </c>
      <c r="P9" s="48">
        <v>0.0</v>
      </c>
      <c r="Q9" s="46">
        <v>0.0</v>
      </c>
      <c r="R9" s="47">
        <v>2.0</v>
      </c>
      <c r="S9" s="1"/>
      <c r="T9" s="1"/>
      <c r="U9" s="1"/>
      <c r="V9" s="1"/>
      <c r="W9" s="1"/>
      <c r="X9" s="1"/>
      <c r="Y9" s="1"/>
      <c r="Z9" s="1"/>
    </row>
    <row r="10" ht="27.75" customHeight="1">
      <c r="A10" s="5"/>
      <c r="B10" s="50" t="s">
        <v>5</v>
      </c>
      <c r="C10" s="44">
        <v>3.0</v>
      </c>
      <c r="D10" s="47">
        <v>1.0</v>
      </c>
      <c r="E10" s="46">
        <v>0.0</v>
      </c>
      <c r="F10" s="47">
        <v>0.0</v>
      </c>
      <c r="G10" s="47">
        <v>0.0</v>
      </c>
      <c r="H10" s="47">
        <v>1.0</v>
      </c>
      <c r="I10" s="48">
        <v>1.0</v>
      </c>
      <c r="J10" s="48">
        <v>0.0</v>
      </c>
      <c r="K10" s="48">
        <v>0.0</v>
      </c>
      <c r="L10" s="48">
        <v>2.0</v>
      </c>
      <c r="M10" s="48">
        <v>2.0</v>
      </c>
      <c r="N10" s="48">
        <v>0.0</v>
      </c>
      <c r="O10" s="48">
        <v>0.0</v>
      </c>
      <c r="P10" s="47">
        <v>0.0</v>
      </c>
      <c r="Q10" s="48">
        <v>0.0</v>
      </c>
      <c r="R10" s="47">
        <v>2.0</v>
      </c>
      <c r="S10" s="1"/>
      <c r="T10" s="1"/>
      <c r="U10" s="1"/>
      <c r="V10" s="1"/>
      <c r="W10" s="1"/>
      <c r="X10" s="1"/>
      <c r="Y10" s="1"/>
      <c r="Z10" s="1"/>
    </row>
    <row r="11" ht="27.75" customHeight="1">
      <c r="A11" s="5"/>
      <c r="B11" s="42" t="s">
        <v>6</v>
      </c>
      <c r="C11" s="44">
        <v>3.0</v>
      </c>
      <c r="D11" s="51">
        <v>3.0</v>
      </c>
      <c r="E11" s="46">
        <v>0.0</v>
      </c>
      <c r="F11" s="47">
        <v>0.0</v>
      </c>
      <c r="G11" s="47">
        <v>0.0</v>
      </c>
      <c r="H11" s="47">
        <v>1.0</v>
      </c>
      <c r="I11" s="48">
        <v>1.0</v>
      </c>
      <c r="J11" s="48">
        <v>0.0</v>
      </c>
      <c r="K11" s="48">
        <v>2.0</v>
      </c>
      <c r="L11" s="48">
        <v>2.0</v>
      </c>
      <c r="M11" s="48">
        <v>2.0</v>
      </c>
      <c r="N11" s="48">
        <v>1.0</v>
      </c>
      <c r="O11" s="48">
        <v>1.0</v>
      </c>
      <c r="P11" s="47">
        <v>0.0</v>
      </c>
      <c r="Q11" s="48">
        <v>0.0</v>
      </c>
      <c r="R11" s="47">
        <v>2.0</v>
      </c>
      <c r="S11" s="1"/>
      <c r="T11" s="1"/>
      <c r="U11" s="1"/>
      <c r="V11" s="1"/>
      <c r="W11" s="1"/>
      <c r="X11" s="1"/>
      <c r="Y11" s="1"/>
      <c r="Z11" s="1"/>
    </row>
    <row r="12" ht="27.75" customHeight="1">
      <c r="A12" s="5"/>
      <c r="B12" s="50" t="s">
        <v>7</v>
      </c>
      <c r="C12" s="44">
        <v>3.0</v>
      </c>
      <c r="D12" s="47">
        <v>1.0</v>
      </c>
      <c r="E12" s="46">
        <v>0.0</v>
      </c>
      <c r="F12" s="47">
        <v>0.0</v>
      </c>
      <c r="G12" s="47">
        <v>0.0</v>
      </c>
      <c r="H12" s="47">
        <v>1.0</v>
      </c>
      <c r="I12" s="48">
        <v>1.0</v>
      </c>
      <c r="J12" s="48">
        <v>0.0</v>
      </c>
      <c r="K12" s="48">
        <v>2.0</v>
      </c>
      <c r="L12" s="48">
        <v>2.0</v>
      </c>
      <c r="M12" s="48">
        <v>2.0</v>
      </c>
      <c r="N12" s="48">
        <v>1.0</v>
      </c>
      <c r="O12" s="48">
        <v>1.0</v>
      </c>
      <c r="P12" s="47">
        <v>0.0</v>
      </c>
      <c r="Q12" s="48">
        <v>0.0</v>
      </c>
      <c r="R12" s="47">
        <v>2.0</v>
      </c>
      <c r="S12" s="1"/>
      <c r="T12" s="1"/>
      <c r="U12" s="1"/>
      <c r="V12" s="1"/>
      <c r="W12" s="1"/>
      <c r="X12" s="1"/>
      <c r="Y12" s="1"/>
      <c r="Z12" s="1"/>
    </row>
    <row r="13" ht="27.75" customHeight="1">
      <c r="A13" s="5"/>
      <c r="B13" s="42" t="s">
        <v>8</v>
      </c>
      <c r="C13" s="44">
        <v>3.0</v>
      </c>
      <c r="D13" s="47">
        <v>1.0</v>
      </c>
      <c r="E13" s="46">
        <v>0.0</v>
      </c>
      <c r="F13" s="47">
        <v>0.0</v>
      </c>
      <c r="G13" s="47">
        <v>0.0</v>
      </c>
      <c r="H13" s="47">
        <v>1.0</v>
      </c>
      <c r="I13" s="48">
        <v>1.0</v>
      </c>
      <c r="J13" s="48">
        <v>0.0</v>
      </c>
      <c r="K13" s="48">
        <v>0.0</v>
      </c>
      <c r="L13" s="48">
        <v>2.0</v>
      </c>
      <c r="M13" s="48">
        <v>2.0</v>
      </c>
      <c r="N13" s="48">
        <v>0.0</v>
      </c>
      <c r="O13" s="48">
        <v>0.0</v>
      </c>
      <c r="P13" s="47">
        <v>0.0</v>
      </c>
      <c r="Q13" s="48">
        <v>0.0</v>
      </c>
      <c r="R13" s="47">
        <v>2.0</v>
      </c>
      <c r="S13" s="1"/>
      <c r="T13" s="1"/>
      <c r="U13" s="1"/>
      <c r="V13" s="1"/>
      <c r="W13" s="1"/>
      <c r="X13" s="1"/>
      <c r="Y13" s="1"/>
      <c r="Z13" s="1"/>
    </row>
    <row r="14" ht="27.75" customHeight="1">
      <c r="A14" s="5"/>
      <c r="B14" s="50" t="s">
        <v>9</v>
      </c>
      <c r="C14" s="44">
        <v>3.0</v>
      </c>
      <c r="D14" s="47">
        <v>2.0</v>
      </c>
      <c r="E14" s="46">
        <v>0.0</v>
      </c>
      <c r="F14" s="47">
        <v>0.0</v>
      </c>
      <c r="G14" s="47">
        <v>0.0</v>
      </c>
      <c r="H14" s="48">
        <v>0.0</v>
      </c>
      <c r="I14" s="48">
        <v>0.0</v>
      </c>
      <c r="J14" s="48">
        <v>0.0</v>
      </c>
      <c r="K14" s="48">
        <v>0.0</v>
      </c>
      <c r="L14" s="48">
        <v>0.0</v>
      </c>
      <c r="M14" s="47">
        <v>0.0</v>
      </c>
      <c r="N14" s="48">
        <v>0.0</v>
      </c>
      <c r="O14" s="48">
        <v>0.0</v>
      </c>
      <c r="P14" s="47">
        <v>0.0</v>
      </c>
      <c r="Q14" s="48">
        <v>0.0</v>
      </c>
      <c r="R14" s="47">
        <v>2.0</v>
      </c>
      <c r="S14" s="1"/>
      <c r="T14" s="1"/>
      <c r="U14" s="1"/>
      <c r="V14" s="1"/>
      <c r="W14" s="1"/>
      <c r="X14" s="1"/>
      <c r="Y14" s="1"/>
      <c r="Z14" s="1"/>
    </row>
    <row r="15" ht="27.75" customHeight="1">
      <c r="A15" s="5"/>
      <c r="B15" s="42" t="s">
        <v>10</v>
      </c>
      <c r="C15" s="44">
        <v>3.0</v>
      </c>
      <c r="D15" s="47">
        <v>2.0</v>
      </c>
      <c r="E15" s="46">
        <v>0.0</v>
      </c>
      <c r="F15" s="47">
        <v>0.0</v>
      </c>
      <c r="G15" s="47">
        <v>0.0</v>
      </c>
      <c r="H15" s="48">
        <v>0.0</v>
      </c>
      <c r="I15" s="48">
        <v>0.0</v>
      </c>
      <c r="J15" s="48">
        <v>0.0</v>
      </c>
      <c r="K15" s="48">
        <v>0.0</v>
      </c>
      <c r="L15" s="48">
        <v>0.0</v>
      </c>
      <c r="M15" s="47">
        <v>0.0</v>
      </c>
      <c r="N15" s="48">
        <v>0.0</v>
      </c>
      <c r="O15" s="48">
        <v>0.0</v>
      </c>
      <c r="P15" s="47">
        <v>0.0</v>
      </c>
      <c r="Q15" s="48">
        <v>0.0</v>
      </c>
      <c r="R15" s="47">
        <v>2.0</v>
      </c>
      <c r="S15" s="1"/>
      <c r="T15" s="1"/>
      <c r="U15" s="1"/>
      <c r="V15" s="1"/>
      <c r="W15" s="1"/>
      <c r="X15" s="1"/>
      <c r="Y15" s="1"/>
      <c r="Z15" s="1"/>
    </row>
    <row r="16" ht="27.75" customHeight="1">
      <c r="A16" s="5"/>
      <c r="B16" s="50" t="s">
        <v>11</v>
      </c>
      <c r="C16" s="44">
        <v>3.0</v>
      </c>
      <c r="D16" s="47">
        <v>2.0</v>
      </c>
      <c r="E16" s="46">
        <v>0.0</v>
      </c>
      <c r="F16" s="47">
        <v>0.0</v>
      </c>
      <c r="G16" s="47">
        <v>0.0</v>
      </c>
      <c r="H16" s="48">
        <v>0.0</v>
      </c>
      <c r="I16" s="48">
        <v>0.0</v>
      </c>
      <c r="J16" s="48">
        <v>0.0</v>
      </c>
      <c r="K16" s="48">
        <v>0.0</v>
      </c>
      <c r="L16" s="48">
        <v>0.0</v>
      </c>
      <c r="M16" s="47">
        <v>0.0</v>
      </c>
      <c r="N16" s="48">
        <v>0.0</v>
      </c>
      <c r="O16" s="48">
        <v>0.0</v>
      </c>
      <c r="P16" s="47">
        <v>0.0</v>
      </c>
      <c r="Q16" s="48">
        <v>0.0</v>
      </c>
      <c r="R16" s="47">
        <v>2.0</v>
      </c>
      <c r="S16" s="1"/>
      <c r="T16" s="1"/>
      <c r="U16" s="1"/>
      <c r="V16" s="1"/>
      <c r="W16" s="1"/>
      <c r="X16" s="1"/>
      <c r="Y16" s="1"/>
      <c r="Z16" s="1"/>
    </row>
    <row r="17" ht="27.75" customHeight="1">
      <c r="A17" s="5"/>
      <c r="B17" s="53" t="s">
        <v>47</v>
      </c>
      <c r="C17" s="16"/>
      <c r="D17" s="54">
        <f t="shared" ref="D17:R17" si="1">SUM(D9:D16)/COUNTIF(D9:D16,"&gt;0")</f>
        <v>1.875</v>
      </c>
      <c r="E17" s="55" t="str">
        <f t="shared" si="1"/>
        <v>#DIV/0!</v>
      </c>
      <c r="F17" s="55" t="str">
        <f t="shared" si="1"/>
        <v>#DIV/0!</v>
      </c>
      <c r="G17" s="55" t="str">
        <f t="shared" si="1"/>
        <v>#DIV/0!</v>
      </c>
      <c r="H17" s="54">
        <f t="shared" si="1"/>
        <v>1</v>
      </c>
      <c r="I17" s="54">
        <f t="shared" si="1"/>
        <v>1</v>
      </c>
      <c r="J17" s="55" t="str">
        <f t="shared" si="1"/>
        <v>#DIV/0!</v>
      </c>
      <c r="K17" s="54">
        <f t="shared" si="1"/>
        <v>2</v>
      </c>
      <c r="L17" s="54">
        <f t="shared" si="1"/>
        <v>2</v>
      </c>
      <c r="M17" s="54">
        <f t="shared" si="1"/>
        <v>2</v>
      </c>
      <c r="N17" s="54">
        <f t="shared" si="1"/>
        <v>1</v>
      </c>
      <c r="O17" s="54">
        <f t="shared" si="1"/>
        <v>1</v>
      </c>
      <c r="P17" s="55" t="str">
        <f t="shared" si="1"/>
        <v>#DIV/0!</v>
      </c>
      <c r="Q17" s="55" t="str">
        <f t="shared" si="1"/>
        <v>#DIV/0!</v>
      </c>
      <c r="R17" s="54">
        <f t="shared" si="1"/>
        <v>2</v>
      </c>
      <c r="S17" s="1"/>
      <c r="T17" s="1"/>
      <c r="U17" s="1"/>
      <c r="V17" s="1"/>
      <c r="W17" s="1"/>
      <c r="X17" s="1"/>
      <c r="Y17" s="1"/>
      <c r="Z17" s="1"/>
    </row>
    <row r="18" ht="27.75" customHeight="1">
      <c r="A18" s="5"/>
      <c r="B18" s="34" t="s">
        <v>47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6"/>
      <c r="S18" s="1"/>
      <c r="T18" s="1"/>
      <c r="U18" s="1"/>
      <c r="V18" s="1"/>
      <c r="W18" s="1"/>
      <c r="X18" s="1"/>
      <c r="Y18" s="1"/>
      <c r="Z18" s="1"/>
    </row>
    <row r="19" ht="48.0" customHeight="1">
      <c r="A19" s="5"/>
      <c r="B19" s="56" t="s">
        <v>28</v>
      </c>
      <c r="C19" s="38" t="s">
        <v>52</v>
      </c>
      <c r="D19" s="57" t="s">
        <v>53</v>
      </c>
      <c r="E19" s="57" t="s">
        <v>31</v>
      </c>
      <c r="F19" s="57" t="s">
        <v>32</v>
      </c>
      <c r="G19" s="57" t="s">
        <v>33</v>
      </c>
      <c r="H19" s="40" t="s">
        <v>34</v>
      </c>
      <c r="I19" s="40" t="s">
        <v>35</v>
      </c>
      <c r="J19" s="40" t="s">
        <v>36</v>
      </c>
      <c r="K19" s="40" t="s">
        <v>37</v>
      </c>
      <c r="L19" s="40" t="s">
        <v>38</v>
      </c>
      <c r="M19" s="40" t="s">
        <v>39</v>
      </c>
      <c r="N19" s="40" t="s">
        <v>40</v>
      </c>
      <c r="O19" s="40" t="s">
        <v>41</v>
      </c>
      <c r="P19" s="41" t="s">
        <v>42</v>
      </c>
      <c r="Q19" s="41" t="s">
        <v>43</v>
      </c>
      <c r="R19" s="41" t="s">
        <v>44</v>
      </c>
      <c r="S19" s="1"/>
      <c r="T19" s="1"/>
      <c r="U19" s="1"/>
      <c r="V19" s="1"/>
      <c r="W19" s="1"/>
      <c r="X19" s="1"/>
      <c r="Y19" s="1"/>
      <c r="Z19" s="1"/>
    </row>
    <row r="20" ht="27.75" customHeight="1">
      <c r="A20" s="5"/>
      <c r="B20" s="42" t="s">
        <v>3</v>
      </c>
      <c r="C20" s="58">
        <v>2.0</v>
      </c>
      <c r="D20" s="55">
        <f t="shared" ref="D20:R20" si="2">$C$20*D9/3</f>
        <v>2</v>
      </c>
      <c r="E20" s="55">
        <f t="shared" si="2"/>
        <v>0</v>
      </c>
      <c r="F20" s="55">
        <f t="shared" si="2"/>
        <v>0</v>
      </c>
      <c r="G20" s="55">
        <f t="shared" si="2"/>
        <v>0</v>
      </c>
      <c r="H20" s="55">
        <f t="shared" si="2"/>
        <v>0.6666666667</v>
      </c>
      <c r="I20" s="55">
        <f t="shared" si="2"/>
        <v>0.6666666667</v>
      </c>
      <c r="J20" s="55">
        <f t="shared" si="2"/>
        <v>0</v>
      </c>
      <c r="K20" s="55">
        <f t="shared" si="2"/>
        <v>0</v>
      </c>
      <c r="L20" s="55">
        <f t="shared" si="2"/>
        <v>1.333333333</v>
      </c>
      <c r="M20" s="55">
        <f t="shared" si="2"/>
        <v>1.333333333</v>
      </c>
      <c r="N20" s="55">
        <f t="shared" si="2"/>
        <v>0</v>
      </c>
      <c r="O20" s="55">
        <f t="shared" si="2"/>
        <v>0</v>
      </c>
      <c r="P20" s="55">
        <f t="shared" si="2"/>
        <v>0</v>
      </c>
      <c r="Q20" s="55">
        <f t="shared" si="2"/>
        <v>0</v>
      </c>
      <c r="R20" s="55">
        <f t="shared" si="2"/>
        <v>1.333333333</v>
      </c>
      <c r="S20" s="1"/>
      <c r="T20" s="1"/>
      <c r="U20" s="1"/>
      <c r="V20" s="1"/>
      <c r="W20" s="1"/>
      <c r="X20" s="1"/>
      <c r="Y20" s="1"/>
      <c r="Z20" s="1"/>
    </row>
    <row r="21" ht="27.75" customHeight="1">
      <c r="A21" s="5"/>
      <c r="B21" s="50" t="s">
        <v>5</v>
      </c>
      <c r="C21" s="44">
        <v>3.0</v>
      </c>
      <c r="D21" s="55">
        <f t="shared" ref="D21:R21" si="3">$C$20*D10/3</f>
        <v>0.6666666667</v>
      </c>
      <c r="E21" s="55">
        <f t="shared" si="3"/>
        <v>0</v>
      </c>
      <c r="F21" s="55">
        <f t="shared" si="3"/>
        <v>0</v>
      </c>
      <c r="G21" s="55">
        <f t="shared" si="3"/>
        <v>0</v>
      </c>
      <c r="H21" s="55">
        <f t="shared" si="3"/>
        <v>0.6666666667</v>
      </c>
      <c r="I21" s="55">
        <f t="shared" si="3"/>
        <v>0.6666666667</v>
      </c>
      <c r="J21" s="55">
        <f t="shared" si="3"/>
        <v>0</v>
      </c>
      <c r="K21" s="55">
        <f t="shared" si="3"/>
        <v>0</v>
      </c>
      <c r="L21" s="55">
        <f t="shared" si="3"/>
        <v>1.333333333</v>
      </c>
      <c r="M21" s="55">
        <f t="shared" si="3"/>
        <v>1.333333333</v>
      </c>
      <c r="N21" s="55">
        <f t="shared" si="3"/>
        <v>0</v>
      </c>
      <c r="O21" s="55">
        <f t="shared" si="3"/>
        <v>0</v>
      </c>
      <c r="P21" s="55">
        <f t="shared" si="3"/>
        <v>0</v>
      </c>
      <c r="Q21" s="55">
        <f t="shared" si="3"/>
        <v>0</v>
      </c>
      <c r="R21" s="55">
        <f t="shared" si="3"/>
        <v>1.333333333</v>
      </c>
      <c r="S21" s="1"/>
      <c r="T21" s="1"/>
      <c r="U21" s="1"/>
      <c r="V21" s="1"/>
      <c r="W21" s="1"/>
      <c r="X21" s="1"/>
      <c r="Y21" s="1"/>
      <c r="Z21" s="1"/>
    </row>
    <row r="22" ht="27.75" customHeight="1">
      <c r="A22" s="5"/>
      <c r="B22" s="42" t="s">
        <v>6</v>
      </c>
      <c r="C22" s="44">
        <v>3.0</v>
      </c>
      <c r="D22" s="55">
        <f t="shared" ref="D22:R22" si="4">$C$20*D11/3</f>
        <v>2</v>
      </c>
      <c r="E22" s="55">
        <f t="shared" si="4"/>
        <v>0</v>
      </c>
      <c r="F22" s="55">
        <f t="shared" si="4"/>
        <v>0</v>
      </c>
      <c r="G22" s="55">
        <f t="shared" si="4"/>
        <v>0</v>
      </c>
      <c r="H22" s="55">
        <f t="shared" si="4"/>
        <v>0.6666666667</v>
      </c>
      <c r="I22" s="55">
        <f t="shared" si="4"/>
        <v>0.6666666667</v>
      </c>
      <c r="J22" s="55">
        <f t="shared" si="4"/>
        <v>0</v>
      </c>
      <c r="K22" s="55">
        <f t="shared" si="4"/>
        <v>1.333333333</v>
      </c>
      <c r="L22" s="55">
        <f t="shared" si="4"/>
        <v>1.333333333</v>
      </c>
      <c r="M22" s="55">
        <f t="shared" si="4"/>
        <v>1.333333333</v>
      </c>
      <c r="N22" s="55">
        <f t="shared" si="4"/>
        <v>0.6666666667</v>
      </c>
      <c r="O22" s="55">
        <f t="shared" si="4"/>
        <v>0.6666666667</v>
      </c>
      <c r="P22" s="55">
        <f t="shared" si="4"/>
        <v>0</v>
      </c>
      <c r="Q22" s="55">
        <f t="shared" si="4"/>
        <v>0</v>
      </c>
      <c r="R22" s="55">
        <f t="shared" si="4"/>
        <v>1.333333333</v>
      </c>
      <c r="S22" s="1"/>
      <c r="T22" s="1"/>
      <c r="U22" s="1"/>
      <c r="V22" s="1"/>
      <c r="W22" s="1"/>
      <c r="X22" s="1"/>
      <c r="Y22" s="1"/>
      <c r="Z22" s="1"/>
    </row>
    <row r="23" ht="27.75" customHeight="1">
      <c r="A23" s="5"/>
      <c r="B23" s="50" t="s">
        <v>7</v>
      </c>
      <c r="C23" s="44">
        <v>3.0</v>
      </c>
      <c r="D23" s="60">
        <v>1.0</v>
      </c>
      <c r="E23" s="61">
        <v>0.0</v>
      </c>
      <c r="F23" s="60">
        <v>0.0</v>
      </c>
      <c r="G23" s="60">
        <v>0.0</v>
      </c>
      <c r="H23" s="60">
        <v>1.0</v>
      </c>
      <c r="I23" s="62">
        <v>1.0</v>
      </c>
      <c r="J23" s="62">
        <v>0.0</v>
      </c>
      <c r="K23" s="62">
        <v>2.0</v>
      </c>
      <c r="L23" s="62">
        <v>2.0</v>
      </c>
      <c r="M23" s="62">
        <v>2.0</v>
      </c>
      <c r="N23" s="62">
        <v>1.0</v>
      </c>
      <c r="O23" s="62">
        <v>1.0</v>
      </c>
      <c r="P23" s="60">
        <v>0.0</v>
      </c>
      <c r="Q23" s="62">
        <v>0.0</v>
      </c>
      <c r="R23" s="60">
        <v>2.0</v>
      </c>
      <c r="S23" s="1"/>
      <c r="T23" s="1"/>
      <c r="U23" s="1"/>
      <c r="V23" s="1"/>
      <c r="W23" s="1"/>
      <c r="X23" s="1"/>
      <c r="Y23" s="1"/>
      <c r="Z23" s="1"/>
    </row>
    <row r="24" ht="27.75" customHeight="1">
      <c r="A24" s="5"/>
      <c r="B24" s="42" t="s">
        <v>8</v>
      </c>
      <c r="C24" s="44">
        <v>3.0</v>
      </c>
      <c r="D24" s="60">
        <v>1.0</v>
      </c>
      <c r="E24" s="61">
        <v>0.0</v>
      </c>
      <c r="F24" s="60">
        <v>0.0</v>
      </c>
      <c r="G24" s="60">
        <v>0.0</v>
      </c>
      <c r="H24" s="60">
        <v>1.0</v>
      </c>
      <c r="I24" s="62">
        <v>1.0</v>
      </c>
      <c r="J24" s="62">
        <v>0.0</v>
      </c>
      <c r="K24" s="62">
        <v>0.0</v>
      </c>
      <c r="L24" s="62">
        <v>2.0</v>
      </c>
      <c r="M24" s="62">
        <v>2.0</v>
      </c>
      <c r="N24" s="62">
        <v>0.0</v>
      </c>
      <c r="O24" s="62">
        <v>0.0</v>
      </c>
      <c r="P24" s="60">
        <v>0.0</v>
      </c>
      <c r="Q24" s="62">
        <v>0.0</v>
      </c>
      <c r="R24" s="60">
        <v>2.0</v>
      </c>
      <c r="S24" s="1"/>
      <c r="T24" s="1"/>
      <c r="U24" s="1"/>
      <c r="V24" s="1"/>
      <c r="W24" s="1"/>
      <c r="X24" s="1"/>
      <c r="Y24" s="1"/>
      <c r="Z24" s="1"/>
    </row>
    <row r="25" ht="27.75" customHeight="1">
      <c r="A25" s="5"/>
      <c r="B25" s="50" t="s">
        <v>9</v>
      </c>
      <c r="C25" s="44">
        <v>3.0</v>
      </c>
      <c r="D25" s="60">
        <v>2.0</v>
      </c>
      <c r="E25" s="61">
        <v>0.0</v>
      </c>
      <c r="F25" s="60">
        <v>0.0</v>
      </c>
      <c r="G25" s="60">
        <v>0.0</v>
      </c>
      <c r="H25" s="62">
        <v>0.0</v>
      </c>
      <c r="I25" s="62">
        <v>0.0</v>
      </c>
      <c r="J25" s="62">
        <v>0.0</v>
      </c>
      <c r="K25" s="62">
        <v>0.0</v>
      </c>
      <c r="L25" s="62">
        <v>0.0</v>
      </c>
      <c r="M25" s="60">
        <v>0.0</v>
      </c>
      <c r="N25" s="62">
        <v>0.0</v>
      </c>
      <c r="O25" s="62">
        <v>0.0</v>
      </c>
      <c r="P25" s="60">
        <v>0.0</v>
      </c>
      <c r="Q25" s="62">
        <v>0.0</v>
      </c>
      <c r="R25" s="60">
        <v>2.0</v>
      </c>
      <c r="S25" s="1"/>
      <c r="T25" s="1"/>
      <c r="U25" s="1"/>
      <c r="V25" s="1"/>
      <c r="W25" s="1"/>
      <c r="X25" s="1"/>
      <c r="Y25" s="1"/>
      <c r="Z25" s="1"/>
    </row>
    <row r="26" ht="27.75" customHeight="1">
      <c r="A26" s="5"/>
      <c r="B26" s="42" t="s">
        <v>10</v>
      </c>
      <c r="C26" s="44">
        <v>3.0</v>
      </c>
      <c r="D26" s="60">
        <v>2.0</v>
      </c>
      <c r="E26" s="61">
        <v>0.0</v>
      </c>
      <c r="F26" s="60">
        <v>0.0</v>
      </c>
      <c r="G26" s="60">
        <v>0.0</v>
      </c>
      <c r="H26" s="62">
        <v>0.0</v>
      </c>
      <c r="I26" s="62">
        <v>0.0</v>
      </c>
      <c r="J26" s="62">
        <v>0.0</v>
      </c>
      <c r="K26" s="62">
        <v>0.0</v>
      </c>
      <c r="L26" s="62">
        <v>0.0</v>
      </c>
      <c r="M26" s="60">
        <v>0.0</v>
      </c>
      <c r="N26" s="62">
        <v>0.0</v>
      </c>
      <c r="O26" s="62">
        <v>0.0</v>
      </c>
      <c r="P26" s="60">
        <v>0.0</v>
      </c>
      <c r="Q26" s="62">
        <v>0.0</v>
      </c>
      <c r="R26" s="60">
        <v>2.0</v>
      </c>
      <c r="S26" s="1"/>
      <c r="T26" s="1"/>
      <c r="U26" s="1"/>
      <c r="V26" s="1"/>
      <c r="W26" s="1"/>
      <c r="X26" s="1"/>
      <c r="Y26" s="1"/>
      <c r="Z26" s="1"/>
    </row>
    <row r="27" ht="27.75" customHeight="1">
      <c r="A27" s="5"/>
      <c r="B27" s="50" t="s">
        <v>11</v>
      </c>
      <c r="C27" s="44">
        <v>3.0</v>
      </c>
      <c r="D27" s="60">
        <v>2.0</v>
      </c>
      <c r="E27" s="61">
        <v>0.0</v>
      </c>
      <c r="F27" s="60">
        <v>0.0</v>
      </c>
      <c r="G27" s="60">
        <v>0.0</v>
      </c>
      <c r="H27" s="62">
        <v>0.0</v>
      </c>
      <c r="I27" s="62">
        <v>0.0</v>
      </c>
      <c r="J27" s="62">
        <v>0.0</v>
      </c>
      <c r="K27" s="62">
        <v>0.0</v>
      </c>
      <c r="L27" s="62">
        <v>0.0</v>
      </c>
      <c r="M27" s="60">
        <v>0.0</v>
      </c>
      <c r="N27" s="62">
        <v>0.0</v>
      </c>
      <c r="O27" s="62">
        <v>0.0</v>
      </c>
      <c r="P27" s="60">
        <v>0.0</v>
      </c>
      <c r="Q27" s="62">
        <v>0.0</v>
      </c>
      <c r="R27" s="60">
        <v>2.0</v>
      </c>
      <c r="S27" s="1"/>
      <c r="T27" s="1"/>
      <c r="U27" s="1"/>
      <c r="V27" s="1"/>
      <c r="W27" s="1"/>
      <c r="X27" s="1"/>
      <c r="Y27" s="1"/>
      <c r="Z27" s="1"/>
    </row>
    <row r="28" ht="27.75" customHeight="1">
      <c r="A28" s="5"/>
      <c r="B28" s="53" t="s">
        <v>47</v>
      </c>
      <c r="C28" s="16"/>
      <c r="D28" s="54">
        <f t="shared" ref="D28:R28" si="5">SUM(D20:D27)/COUNTIF(D20:D27,"&gt;0")</f>
        <v>1.583333333</v>
      </c>
      <c r="E28" s="55" t="str">
        <f t="shared" si="5"/>
        <v>#DIV/0!</v>
      </c>
      <c r="F28" s="55" t="str">
        <f t="shared" si="5"/>
        <v>#DIV/0!</v>
      </c>
      <c r="G28" s="55" t="str">
        <f t="shared" si="5"/>
        <v>#DIV/0!</v>
      </c>
      <c r="H28" s="54">
        <f t="shared" si="5"/>
        <v>0.8</v>
      </c>
      <c r="I28" s="54">
        <f t="shared" si="5"/>
        <v>0.8</v>
      </c>
      <c r="J28" s="55" t="str">
        <f t="shared" si="5"/>
        <v>#DIV/0!</v>
      </c>
      <c r="K28" s="54">
        <f t="shared" si="5"/>
        <v>1.666666667</v>
      </c>
      <c r="L28" s="54">
        <f t="shared" si="5"/>
        <v>1.6</v>
      </c>
      <c r="M28" s="54">
        <f t="shared" si="5"/>
        <v>1.6</v>
      </c>
      <c r="N28" s="54">
        <f t="shared" si="5"/>
        <v>0.8333333333</v>
      </c>
      <c r="O28" s="54">
        <f t="shared" si="5"/>
        <v>0.8333333333</v>
      </c>
      <c r="P28" s="55" t="str">
        <f t="shared" si="5"/>
        <v>#DIV/0!</v>
      </c>
      <c r="Q28" s="55" t="str">
        <f t="shared" si="5"/>
        <v>#DIV/0!</v>
      </c>
      <c r="R28" s="54">
        <f t="shared" si="5"/>
        <v>1.75</v>
      </c>
      <c r="S28" s="1"/>
      <c r="T28" s="1"/>
      <c r="U28" s="1"/>
      <c r="V28" s="1"/>
      <c r="W28" s="1"/>
      <c r="X28" s="1"/>
      <c r="Y28" s="1"/>
      <c r="Z28" s="1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7:R7"/>
    <mergeCell ref="B18:R18"/>
  </mergeCells>
  <printOptions/>
  <pageMargins bottom="0.75" footer="0.0" header="0.0" left="0.7" right="0.7" top="0.75"/>
  <pageSetup paperSize="9" orientation="portrait"/>
  <drawing r:id="rId1"/>
</worksheet>
</file>